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1"/>
  <workbookPr/>
  <mc:AlternateContent xmlns:mc="http://schemas.openxmlformats.org/markup-compatibility/2006">
    <mc:Choice Requires="x15">
      <x15ac:absPath xmlns:x15ac="http://schemas.microsoft.com/office/spreadsheetml/2010/11/ac" url="/Users/fakhriabuhantash/Desktop/"/>
    </mc:Choice>
  </mc:AlternateContent>
  <xr:revisionPtr revIDLastSave="0" documentId="13_ncr:1_{861B1CB4-922E-DC48-A5B5-44A1462D77E4}" xr6:coauthVersionLast="47" xr6:coauthVersionMax="47" xr10:uidLastSave="{00000000-0000-0000-0000-000000000000}"/>
  <bookViews>
    <workbookView xWindow="0" yWindow="620" windowWidth="28800" windowHeight="15760" xr2:uid="{00000000-000D-0000-FFFF-FFFF00000000}"/>
  </bookViews>
  <sheets>
    <sheet name="Sales_Data" sheetId="1" r:id="rId1"/>
    <sheet name="Correlation" sheetId="2" r:id="rId2"/>
    <sheet name="Regression" sheetId="3" r:id="rId3"/>
    <sheet name="Regression clean data" sheetId="6" r:id="rId4"/>
  </sheets>
  <externalReferences>
    <externalReference r:id="rId5"/>
  </externalReferences>
  <definedNames>
    <definedName name="_xlnm._FilterDatabase" localSheetId="1" hidden="1">Correlation!$B$1:$C$101</definedName>
    <definedName name="_xlnm._FilterDatabase" localSheetId="2" hidden="1">Regression!$C$1:$P$101</definedName>
    <definedName name="C_Table">Regression!$M$1:$M$101</definedName>
    <definedName name="Co_Tabel">Correlation!$B$1:$C$101</definedName>
    <definedName name="D_tABLE">Regression!$G$1:$G$101</definedName>
    <definedName name="Q_Table">Regression!$D$1:$D$101</definedName>
    <definedName name="Regression_Table">Regression!$C$1:$P$101</definedName>
    <definedName name="S_Table">Regression!$J$1:$J$101</definedName>
    <definedName name="T_Table">Regression!$P$1:$P$101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B4" i="1" l="1"/>
  <c r="BB5" i="1"/>
  <c r="BB6" i="1"/>
  <c r="BB7" i="1"/>
  <c r="BB8" i="1"/>
  <c r="BB9" i="1"/>
  <c r="BB10" i="1"/>
  <c r="BB11" i="1"/>
  <c r="BB12" i="1"/>
  <c r="BB13" i="1"/>
  <c r="BB14" i="1"/>
  <c r="BB15" i="1"/>
  <c r="BB16" i="1"/>
  <c r="BB17" i="1"/>
  <c r="BB18" i="1"/>
  <c r="BB19" i="1"/>
  <c r="BB20" i="1"/>
  <c r="BB21" i="1"/>
  <c r="BB22" i="1"/>
  <c r="BB23" i="1"/>
  <c r="BB24" i="1"/>
  <c r="BB25" i="1"/>
  <c r="BB26" i="1"/>
  <c r="BB27" i="1"/>
  <c r="BB28" i="1"/>
  <c r="BB29" i="1"/>
  <c r="BB30" i="1"/>
  <c r="BB31" i="1"/>
  <c r="BB32" i="1"/>
  <c r="BB33" i="1"/>
  <c r="BB34" i="1"/>
  <c r="BB35" i="1"/>
  <c r="BB36" i="1"/>
  <c r="BB37" i="1"/>
  <c r="BB38" i="1"/>
  <c r="BB39" i="1"/>
  <c r="BB40" i="1"/>
  <c r="BB41" i="1"/>
  <c r="BB42" i="1"/>
  <c r="BB43" i="1"/>
  <c r="BB44" i="1"/>
  <c r="BB45" i="1"/>
  <c r="BB46" i="1"/>
  <c r="BB47" i="1"/>
  <c r="BB48" i="1"/>
  <c r="BB49" i="1"/>
  <c r="BB50" i="1"/>
  <c r="BB51" i="1"/>
  <c r="BB52" i="1"/>
  <c r="BB53" i="1"/>
  <c r="BB54" i="1"/>
  <c r="BB55" i="1"/>
  <c r="BB56" i="1"/>
  <c r="BB57" i="1"/>
  <c r="BB58" i="1"/>
  <c r="BB59" i="1"/>
  <c r="BB60" i="1"/>
  <c r="BB61" i="1"/>
  <c r="BB62" i="1"/>
  <c r="BB63" i="1"/>
  <c r="BB64" i="1"/>
  <c r="BB65" i="1"/>
  <c r="BB66" i="1"/>
  <c r="BB67" i="1"/>
  <c r="BB68" i="1"/>
  <c r="BB69" i="1"/>
  <c r="BB70" i="1"/>
  <c r="BB71" i="1"/>
  <c r="BB72" i="1"/>
  <c r="BB73" i="1"/>
  <c r="BB74" i="1"/>
  <c r="BB75" i="1"/>
  <c r="BB76" i="1"/>
  <c r="BB77" i="1"/>
  <c r="BB78" i="1"/>
  <c r="BB79" i="1"/>
  <c r="BB80" i="1"/>
  <c r="BB81" i="1"/>
  <c r="BB82" i="1"/>
  <c r="BB83" i="1"/>
  <c r="BB84" i="1"/>
  <c r="BB85" i="1"/>
  <c r="BB86" i="1"/>
  <c r="BB87" i="1"/>
  <c r="BB88" i="1"/>
  <c r="BB89" i="1"/>
  <c r="BB90" i="1"/>
  <c r="BB91" i="1"/>
  <c r="BB92" i="1"/>
  <c r="BB93" i="1"/>
  <c r="BB94" i="1"/>
  <c r="BB95" i="1"/>
  <c r="BB96" i="1"/>
  <c r="BB97" i="1"/>
  <c r="BB98" i="1"/>
  <c r="BB99" i="1"/>
  <c r="BB100" i="1"/>
  <c r="BB101" i="1"/>
  <c r="BB3" i="1"/>
  <c r="P3" i="3"/>
  <c r="P4" i="3"/>
  <c r="P5" i="3"/>
  <c r="P6" i="3"/>
  <c r="P7" i="3"/>
  <c r="P8" i="3"/>
  <c r="P9" i="3"/>
  <c r="P10" i="3"/>
  <c r="P11" i="3"/>
  <c r="P12" i="3"/>
  <c r="P13" i="3"/>
  <c r="P14" i="3"/>
  <c r="P15" i="3"/>
  <c r="P16" i="3"/>
  <c r="P17" i="3"/>
  <c r="P18" i="3"/>
  <c r="P19" i="3"/>
  <c r="P20" i="3"/>
  <c r="P21" i="3"/>
  <c r="P22" i="3"/>
  <c r="P23" i="3"/>
  <c r="P24" i="3"/>
  <c r="P25" i="3"/>
  <c r="P26" i="3"/>
  <c r="P27" i="3"/>
  <c r="P28" i="3"/>
  <c r="P29" i="3"/>
  <c r="P30" i="3"/>
  <c r="P31" i="3"/>
  <c r="P32" i="3"/>
  <c r="P33" i="3"/>
  <c r="P34" i="3"/>
  <c r="P35" i="3"/>
  <c r="P36" i="3"/>
  <c r="P37" i="3"/>
  <c r="P38" i="3"/>
  <c r="P39" i="3"/>
  <c r="P40" i="3"/>
  <c r="P41" i="3"/>
  <c r="P42" i="3"/>
  <c r="P43" i="3"/>
  <c r="P44" i="3"/>
  <c r="P45" i="3"/>
  <c r="P46" i="3"/>
  <c r="P47" i="3"/>
  <c r="P48" i="3"/>
  <c r="P49" i="3"/>
  <c r="P50" i="3"/>
  <c r="P51" i="3"/>
  <c r="P52" i="3"/>
  <c r="P53" i="3"/>
  <c r="P54" i="3"/>
  <c r="P55" i="3"/>
  <c r="P56" i="3"/>
  <c r="P57" i="3"/>
  <c r="P58" i="3"/>
  <c r="P59" i="3"/>
  <c r="P60" i="3"/>
  <c r="P61" i="3"/>
  <c r="P62" i="3"/>
  <c r="P63" i="3"/>
  <c r="P64" i="3"/>
  <c r="P65" i="3"/>
  <c r="P66" i="3"/>
  <c r="P67" i="3"/>
  <c r="P68" i="3"/>
  <c r="P69" i="3"/>
  <c r="P70" i="3"/>
  <c r="P71" i="3"/>
  <c r="P72" i="3"/>
  <c r="P73" i="3"/>
  <c r="P74" i="3"/>
  <c r="P75" i="3"/>
  <c r="P76" i="3"/>
  <c r="P77" i="3"/>
  <c r="P78" i="3"/>
  <c r="P79" i="3"/>
  <c r="P80" i="3"/>
  <c r="P81" i="3"/>
  <c r="P82" i="3"/>
  <c r="P83" i="3"/>
  <c r="P84" i="3"/>
  <c r="P85" i="3"/>
  <c r="P86" i="3"/>
  <c r="P87" i="3"/>
  <c r="P88" i="3"/>
  <c r="P89" i="3"/>
  <c r="P90" i="3"/>
  <c r="P91" i="3"/>
  <c r="P92" i="3"/>
  <c r="P93" i="3"/>
  <c r="P94" i="3"/>
  <c r="P95" i="3"/>
  <c r="P96" i="3"/>
  <c r="P97" i="3"/>
  <c r="P98" i="3"/>
  <c r="P99" i="3"/>
  <c r="P100" i="3"/>
  <c r="P101" i="3"/>
  <c r="P2" i="3"/>
  <c r="M3" i="3"/>
  <c r="M4" i="3"/>
  <c r="M5" i="3"/>
  <c r="M6" i="3"/>
  <c r="M7" i="3"/>
  <c r="M8" i="3"/>
  <c r="M9" i="3"/>
  <c r="M10" i="3"/>
  <c r="M11" i="3"/>
  <c r="M12" i="3"/>
  <c r="M13" i="3"/>
  <c r="M14" i="3"/>
  <c r="M15" i="3"/>
  <c r="M16" i="3"/>
  <c r="M17" i="3"/>
  <c r="M18" i="3"/>
  <c r="M19" i="3"/>
  <c r="M20" i="3"/>
  <c r="M21" i="3"/>
  <c r="M22" i="3"/>
  <c r="M23" i="3"/>
  <c r="M24" i="3"/>
  <c r="M25" i="3"/>
  <c r="M26" i="3"/>
  <c r="M27" i="3"/>
  <c r="M28" i="3"/>
  <c r="M29" i="3"/>
  <c r="M30" i="3"/>
  <c r="M31" i="3"/>
  <c r="M32" i="3"/>
  <c r="M33" i="3"/>
  <c r="M34" i="3"/>
  <c r="M35" i="3"/>
  <c r="M36" i="3"/>
  <c r="M37" i="3"/>
  <c r="M38" i="3"/>
  <c r="M39" i="3"/>
  <c r="M40" i="3"/>
  <c r="M41" i="3"/>
  <c r="M42" i="3"/>
  <c r="M43" i="3"/>
  <c r="M44" i="3"/>
  <c r="M45" i="3"/>
  <c r="M46" i="3"/>
  <c r="M47" i="3"/>
  <c r="M48" i="3"/>
  <c r="M49" i="3"/>
  <c r="M50" i="3"/>
  <c r="M51" i="3"/>
  <c r="M52" i="3"/>
  <c r="M53" i="3"/>
  <c r="M54" i="3"/>
  <c r="M55" i="3"/>
  <c r="M56" i="3"/>
  <c r="M57" i="3"/>
  <c r="M58" i="3"/>
  <c r="M59" i="3"/>
  <c r="M60" i="3"/>
  <c r="M61" i="3"/>
  <c r="M62" i="3"/>
  <c r="M63" i="3"/>
  <c r="M64" i="3"/>
  <c r="M65" i="3"/>
  <c r="M66" i="3"/>
  <c r="M67" i="3"/>
  <c r="M68" i="3"/>
  <c r="M69" i="3"/>
  <c r="M70" i="3"/>
  <c r="M71" i="3"/>
  <c r="M72" i="3"/>
  <c r="M73" i="3"/>
  <c r="M74" i="3"/>
  <c r="M75" i="3"/>
  <c r="M76" i="3"/>
  <c r="M77" i="3"/>
  <c r="M78" i="3"/>
  <c r="M79" i="3"/>
  <c r="M80" i="3"/>
  <c r="M81" i="3"/>
  <c r="M82" i="3"/>
  <c r="M83" i="3"/>
  <c r="M84" i="3"/>
  <c r="M85" i="3"/>
  <c r="M86" i="3"/>
  <c r="M87" i="3"/>
  <c r="M88" i="3"/>
  <c r="M89" i="3"/>
  <c r="M90" i="3"/>
  <c r="M91" i="3"/>
  <c r="M92" i="3"/>
  <c r="M93" i="3"/>
  <c r="M94" i="3"/>
  <c r="M95" i="3"/>
  <c r="M96" i="3"/>
  <c r="M97" i="3"/>
  <c r="M98" i="3"/>
  <c r="M99" i="3"/>
  <c r="M100" i="3"/>
  <c r="M101" i="3"/>
  <c r="M2" i="3"/>
  <c r="J3" i="3"/>
  <c r="J4" i="3"/>
  <c r="J5" i="3"/>
  <c r="J6" i="3"/>
  <c r="J7" i="3"/>
  <c r="J8" i="3"/>
  <c r="J9" i="3"/>
  <c r="J10" i="3"/>
  <c r="J11" i="3"/>
  <c r="J12" i="3"/>
  <c r="J13" i="3"/>
  <c r="J14" i="3"/>
  <c r="J15" i="3"/>
  <c r="J16" i="3"/>
  <c r="J17" i="3"/>
  <c r="J18" i="3"/>
  <c r="J19" i="3"/>
  <c r="J20" i="3"/>
  <c r="J21" i="3"/>
  <c r="J22" i="3"/>
  <c r="J23" i="3"/>
  <c r="J24" i="3"/>
  <c r="J25" i="3"/>
  <c r="J26" i="3"/>
  <c r="J27" i="3"/>
  <c r="J28" i="3"/>
  <c r="J29" i="3"/>
  <c r="J30" i="3"/>
  <c r="J31" i="3"/>
  <c r="J32" i="3"/>
  <c r="J33" i="3"/>
  <c r="J34" i="3"/>
  <c r="J35" i="3"/>
  <c r="J36" i="3"/>
  <c r="J37" i="3"/>
  <c r="J38" i="3"/>
  <c r="J39" i="3"/>
  <c r="J40" i="3"/>
  <c r="J41" i="3"/>
  <c r="J42" i="3"/>
  <c r="J43" i="3"/>
  <c r="J44" i="3"/>
  <c r="J45" i="3"/>
  <c r="J46" i="3"/>
  <c r="J47" i="3"/>
  <c r="J48" i="3"/>
  <c r="J49" i="3"/>
  <c r="J50" i="3"/>
  <c r="J51" i="3"/>
  <c r="J52" i="3"/>
  <c r="J53" i="3"/>
  <c r="J54" i="3"/>
  <c r="J55" i="3"/>
  <c r="J56" i="3"/>
  <c r="J57" i="3"/>
  <c r="J58" i="3"/>
  <c r="J59" i="3"/>
  <c r="J60" i="3"/>
  <c r="J61" i="3"/>
  <c r="J62" i="3"/>
  <c r="J63" i="3"/>
  <c r="J64" i="3"/>
  <c r="J65" i="3"/>
  <c r="J66" i="3"/>
  <c r="J67" i="3"/>
  <c r="J68" i="3"/>
  <c r="J69" i="3"/>
  <c r="J70" i="3"/>
  <c r="J71" i="3"/>
  <c r="J72" i="3"/>
  <c r="J73" i="3"/>
  <c r="J74" i="3"/>
  <c r="J75" i="3"/>
  <c r="J76" i="3"/>
  <c r="J77" i="3"/>
  <c r="J78" i="3"/>
  <c r="J79" i="3"/>
  <c r="J80" i="3"/>
  <c r="J81" i="3"/>
  <c r="J82" i="3"/>
  <c r="J83" i="3"/>
  <c r="J84" i="3"/>
  <c r="J85" i="3"/>
  <c r="J86" i="3"/>
  <c r="J87" i="3"/>
  <c r="J88" i="3"/>
  <c r="J89" i="3"/>
  <c r="J90" i="3"/>
  <c r="J91" i="3"/>
  <c r="J92" i="3"/>
  <c r="J93" i="3"/>
  <c r="J94" i="3"/>
  <c r="J95" i="3"/>
  <c r="J96" i="3"/>
  <c r="J97" i="3"/>
  <c r="J98" i="3"/>
  <c r="J99" i="3"/>
  <c r="J100" i="3"/>
  <c r="J101" i="3"/>
  <c r="J2" i="3"/>
  <c r="G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33" i="3"/>
  <c r="G34" i="3"/>
  <c r="G35" i="3"/>
  <c r="G36" i="3"/>
  <c r="G37" i="3"/>
  <c r="G38" i="3"/>
  <c r="G39" i="3"/>
  <c r="G40" i="3"/>
  <c r="G41" i="3"/>
  <c r="G42" i="3"/>
  <c r="G43" i="3"/>
  <c r="G44" i="3"/>
  <c r="G45" i="3"/>
  <c r="G46" i="3"/>
  <c r="G47" i="3"/>
  <c r="G48" i="3"/>
  <c r="G49" i="3"/>
  <c r="G50" i="3"/>
  <c r="G51" i="3"/>
  <c r="G52" i="3"/>
  <c r="G53" i="3"/>
  <c r="G54" i="3"/>
  <c r="G55" i="3"/>
  <c r="G56" i="3"/>
  <c r="G57" i="3"/>
  <c r="G58" i="3"/>
  <c r="G59" i="3"/>
  <c r="G60" i="3"/>
  <c r="G61" i="3"/>
  <c r="G62" i="3"/>
  <c r="G63" i="3"/>
  <c r="G64" i="3"/>
  <c r="G65" i="3"/>
  <c r="G66" i="3"/>
  <c r="G67" i="3"/>
  <c r="G68" i="3"/>
  <c r="G69" i="3"/>
  <c r="G70" i="3"/>
  <c r="G71" i="3"/>
  <c r="G72" i="3"/>
  <c r="G73" i="3"/>
  <c r="G74" i="3"/>
  <c r="G75" i="3"/>
  <c r="G76" i="3"/>
  <c r="G77" i="3"/>
  <c r="G78" i="3"/>
  <c r="G79" i="3"/>
  <c r="G80" i="3"/>
  <c r="G81" i="3"/>
  <c r="G82" i="3"/>
  <c r="G83" i="3"/>
  <c r="G84" i="3"/>
  <c r="G85" i="3"/>
  <c r="G86" i="3"/>
  <c r="G87" i="3"/>
  <c r="G88" i="3"/>
  <c r="G89" i="3"/>
  <c r="G90" i="3"/>
  <c r="G91" i="3"/>
  <c r="G92" i="3"/>
  <c r="G93" i="3"/>
  <c r="G94" i="3"/>
  <c r="G95" i="3"/>
  <c r="G96" i="3"/>
  <c r="G97" i="3"/>
  <c r="G98" i="3"/>
  <c r="G99" i="3"/>
  <c r="G100" i="3"/>
  <c r="G101" i="3"/>
  <c r="G2" i="3"/>
  <c r="D3" i="3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D73" i="3"/>
  <c r="D74" i="3"/>
  <c r="D75" i="3"/>
  <c r="D76" i="3"/>
  <c r="D77" i="3"/>
  <c r="D78" i="3"/>
  <c r="D79" i="3"/>
  <c r="D80" i="3"/>
  <c r="D81" i="3"/>
  <c r="D82" i="3"/>
  <c r="D83" i="3"/>
  <c r="D84" i="3"/>
  <c r="D85" i="3"/>
  <c r="D86" i="3"/>
  <c r="D87" i="3"/>
  <c r="D88" i="3"/>
  <c r="D89" i="3"/>
  <c r="D90" i="3"/>
  <c r="D91" i="3"/>
  <c r="D92" i="3"/>
  <c r="D93" i="3"/>
  <c r="D94" i="3"/>
  <c r="D95" i="3"/>
  <c r="D96" i="3"/>
  <c r="D97" i="3"/>
  <c r="D98" i="3"/>
  <c r="D99" i="3"/>
  <c r="D100" i="3"/>
  <c r="D101" i="3"/>
  <c r="D2" i="3"/>
  <c r="D2" i="2"/>
  <c r="E2" i="2"/>
  <c r="AN4" i="1"/>
  <c r="AN5" i="1"/>
  <c r="AN6" i="1"/>
  <c r="AN7" i="1"/>
  <c r="AN8" i="1"/>
  <c r="AN9" i="1"/>
  <c r="AN10" i="1"/>
  <c r="AN11" i="1"/>
  <c r="AN12" i="1"/>
  <c r="AN13" i="1"/>
  <c r="AN14" i="1"/>
  <c r="AN15" i="1"/>
  <c r="AN16" i="1"/>
  <c r="AN17" i="1"/>
  <c r="AN18" i="1"/>
  <c r="AN19" i="1"/>
  <c r="AN20" i="1"/>
  <c r="AN21" i="1"/>
  <c r="AN22" i="1"/>
  <c r="AN23" i="1"/>
  <c r="AN24" i="1"/>
  <c r="AN25" i="1"/>
  <c r="AN26" i="1"/>
  <c r="AN27" i="1"/>
  <c r="AN28" i="1"/>
  <c r="AN29" i="1"/>
  <c r="AN30" i="1"/>
  <c r="AN31" i="1"/>
  <c r="AN32" i="1"/>
  <c r="AN33" i="1"/>
  <c r="AN34" i="1"/>
  <c r="AN35" i="1"/>
  <c r="AN36" i="1"/>
  <c r="AN37" i="1"/>
  <c r="AN38" i="1"/>
  <c r="AN39" i="1"/>
  <c r="AN40" i="1"/>
  <c r="AN41" i="1"/>
  <c r="AN42" i="1"/>
  <c r="AN43" i="1"/>
  <c r="AN44" i="1"/>
  <c r="AN45" i="1"/>
  <c r="AN46" i="1"/>
  <c r="AN47" i="1"/>
  <c r="AN48" i="1"/>
  <c r="AN49" i="1"/>
  <c r="AN50" i="1"/>
  <c r="AN51" i="1"/>
  <c r="AN52" i="1"/>
  <c r="AN53" i="1"/>
  <c r="AN54" i="1"/>
  <c r="AN55" i="1"/>
  <c r="AN56" i="1"/>
  <c r="AN57" i="1"/>
  <c r="AN58" i="1"/>
  <c r="AN59" i="1"/>
  <c r="AN60" i="1"/>
  <c r="AN61" i="1"/>
  <c r="AN62" i="1"/>
  <c r="AN63" i="1"/>
  <c r="AN64" i="1"/>
  <c r="AN65" i="1"/>
  <c r="AN66" i="1"/>
  <c r="AN67" i="1"/>
  <c r="AN68" i="1"/>
  <c r="AN69" i="1"/>
  <c r="AN70" i="1"/>
  <c r="AN71" i="1"/>
  <c r="AN72" i="1"/>
  <c r="AN73" i="1"/>
  <c r="AN74" i="1"/>
  <c r="AN75" i="1"/>
  <c r="AN76" i="1"/>
  <c r="AN77" i="1"/>
  <c r="AN78" i="1"/>
  <c r="AN79" i="1"/>
  <c r="AN80" i="1"/>
  <c r="AN81" i="1"/>
  <c r="AN82" i="1"/>
  <c r="AN83" i="1"/>
  <c r="AN84" i="1"/>
  <c r="AN85" i="1"/>
  <c r="AN86" i="1"/>
  <c r="AN87" i="1"/>
  <c r="AN88" i="1"/>
  <c r="AN89" i="1"/>
  <c r="AN90" i="1"/>
  <c r="AN91" i="1"/>
  <c r="AN92" i="1"/>
  <c r="AN93" i="1"/>
  <c r="AN94" i="1"/>
  <c r="AN95" i="1"/>
  <c r="AN96" i="1"/>
  <c r="AN97" i="1"/>
  <c r="AN98" i="1"/>
  <c r="AN99" i="1"/>
  <c r="AN100" i="1"/>
  <c r="AN101" i="1"/>
  <c r="AN3" i="1"/>
  <c r="AS3" i="1"/>
  <c r="AO4" i="1"/>
  <c r="AO5" i="1"/>
  <c r="AO6" i="1"/>
  <c r="AO7" i="1"/>
  <c r="AO8" i="1"/>
  <c r="AO9" i="1"/>
  <c r="AO10" i="1"/>
  <c r="AO11" i="1"/>
  <c r="AO12" i="1"/>
  <c r="AO13" i="1"/>
  <c r="AO14" i="1"/>
  <c r="AO15" i="1"/>
  <c r="AO16" i="1"/>
  <c r="AO17" i="1"/>
  <c r="AO18" i="1"/>
  <c r="AO19" i="1"/>
  <c r="AO20" i="1"/>
  <c r="AO21" i="1"/>
  <c r="AO22" i="1"/>
  <c r="AO23" i="1"/>
  <c r="AO24" i="1"/>
  <c r="AO25" i="1"/>
  <c r="AO26" i="1"/>
  <c r="AO27" i="1"/>
  <c r="AO28" i="1"/>
  <c r="AO29" i="1"/>
  <c r="AO30" i="1"/>
  <c r="AO31" i="1"/>
  <c r="AO32" i="1"/>
  <c r="AO33" i="1"/>
  <c r="AO34" i="1"/>
  <c r="AO35" i="1"/>
  <c r="AO36" i="1"/>
  <c r="AO37" i="1"/>
  <c r="AO38" i="1"/>
  <c r="AO39" i="1"/>
  <c r="AO40" i="1"/>
  <c r="AO41" i="1"/>
  <c r="AO42" i="1"/>
  <c r="AO43" i="1"/>
  <c r="AO44" i="1"/>
  <c r="AO45" i="1"/>
  <c r="AO46" i="1"/>
  <c r="AO47" i="1"/>
  <c r="AO48" i="1"/>
  <c r="AO49" i="1"/>
  <c r="AO50" i="1"/>
  <c r="AO51" i="1"/>
  <c r="AO52" i="1"/>
  <c r="AO53" i="1"/>
  <c r="AO54" i="1"/>
  <c r="AO55" i="1"/>
  <c r="AO56" i="1"/>
  <c r="AO57" i="1"/>
  <c r="AO58" i="1"/>
  <c r="AO59" i="1"/>
  <c r="AO60" i="1"/>
  <c r="AO61" i="1"/>
  <c r="AO62" i="1"/>
  <c r="AO63" i="1"/>
  <c r="AO64" i="1"/>
  <c r="AO65" i="1"/>
  <c r="AO66" i="1"/>
  <c r="AO67" i="1"/>
  <c r="AO68" i="1"/>
  <c r="AO69" i="1"/>
  <c r="AO70" i="1"/>
  <c r="AO71" i="1"/>
  <c r="AO72" i="1"/>
  <c r="AO73" i="1"/>
  <c r="AO74" i="1"/>
  <c r="AO75" i="1"/>
  <c r="AO76" i="1"/>
  <c r="AO77" i="1"/>
  <c r="AO78" i="1"/>
  <c r="AO79" i="1"/>
  <c r="AO80" i="1"/>
  <c r="AO81" i="1"/>
  <c r="AO82" i="1"/>
  <c r="AO83" i="1"/>
  <c r="AO84" i="1"/>
  <c r="AO85" i="1"/>
  <c r="AO86" i="1"/>
  <c r="AO87" i="1"/>
  <c r="AO88" i="1"/>
  <c r="AO89" i="1"/>
  <c r="AO90" i="1"/>
  <c r="AO91" i="1"/>
  <c r="AO92" i="1"/>
  <c r="AO93" i="1"/>
  <c r="AO94" i="1"/>
  <c r="AO95" i="1"/>
  <c r="AO96" i="1"/>
  <c r="AO97" i="1"/>
  <c r="AO98" i="1"/>
  <c r="AO99" i="1"/>
  <c r="AO100" i="1"/>
  <c r="AO101" i="1"/>
  <c r="AO3" i="1"/>
  <c r="AK4" i="1"/>
  <c r="AK5" i="1"/>
  <c r="AK6" i="1"/>
  <c r="AK7" i="1"/>
  <c r="AK8" i="1"/>
  <c r="AK9" i="1"/>
  <c r="AK10" i="1"/>
  <c r="AK11" i="1"/>
  <c r="AK12" i="1"/>
  <c r="AK13" i="1"/>
  <c r="AK14" i="1"/>
  <c r="AK15" i="1"/>
  <c r="AK16" i="1"/>
  <c r="AK17" i="1"/>
  <c r="AK18" i="1"/>
  <c r="AK19" i="1"/>
  <c r="AK20" i="1"/>
  <c r="AK21" i="1"/>
  <c r="AK22" i="1"/>
  <c r="AK23" i="1"/>
  <c r="AK24" i="1"/>
  <c r="AK25" i="1"/>
  <c r="AK26" i="1"/>
  <c r="AK27" i="1"/>
  <c r="AK28" i="1"/>
  <c r="AK29" i="1"/>
  <c r="AK30" i="1"/>
  <c r="AK31" i="1"/>
  <c r="AK32" i="1"/>
  <c r="AK33" i="1"/>
  <c r="AK34" i="1"/>
  <c r="AK35" i="1"/>
  <c r="AK36" i="1"/>
  <c r="AK37" i="1"/>
  <c r="AK38" i="1"/>
  <c r="AK39" i="1"/>
  <c r="AK40" i="1"/>
  <c r="AK41" i="1"/>
  <c r="AK42" i="1"/>
  <c r="AK43" i="1"/>
  <c r="AK44" i="1"/>
  <c r="AK45" i="1"/>
  <c r="AK46" i="1"/>
  <c r="AK47" i="1"/>
  <c r="AK48" i="1"/>
  <c r="AK49" i="1"/>
  <c r="AK50" i="1"/>
  <c r="AK51" i="1"/>
  <c r="AK52" i="1"/>
  <c r="AK53" i="1"/>
  <c r="AK54" i="1"/>
  <c r="AK55" i="1"/>
  <c r="AK56" i="1"/>
  <c r="AK57" i="1"/>
  <c r="AK58" i="1"/>
  <c r="AK59" i="1"/>
  <c r="AK60" i="1"/>
  <c r="AK61" i="1"/>
  <c r="AK62" i="1"/>
  <c r="AK63" i="1"/>
  <c r="AK64" i="1"/>
  <c r="AK65" i="1"/>
  <c r="AK66" i="1"/>
  <c r="AK67" i="1"/>
  <c r="AK68" i="1"/>
  <c r="AK69" i="1"/>
  <c r="AK70" i="1"/>
  <c r="AK71" i="1"/>
  <c r="AK72" i="1"/>
  <c r="AK73" i="1"/>
  <c r="AK74" i="1"/>
  <c r="AK75" i="1"/>
  <c r="AK76" i="1"/>
  <c r="AK77" i="1"/>
  <c r="AK78" i="1"/>
  <c r="AK79" i="1"/>
  <c r="AK80" i="1"/>
  <c r="AK81" i="1"/>
  <c r="AK82" i="1"/>
  <c r="AK83" i="1"/>
  <c r="AK84" i="1"/>
  <c r="AK85" i="1"/>
  <c r="AK86" i="1"/>
  <c r="AK87" i="1"/>
  <c r="AK88" i="1"/>
  <c r="AK89" i="1"/>
  <c r="AK90" i="1"/>
  <c r="AK91" i="1"/>
  <c r="AK92" i="1"/>
  <c r="AK93" i="1"/>
  <c r="AK94" i="1"/>
  <c r="AK95" i="1"/>
  <c r="AK96" i="1"/>
  <c r="AK97" i="1"/>
  <c r="AK98" i="1"/>
  <c r="AK99" i="1"/>
  <c r="AK100" i="1"/>
  <c r="AK101" i="1"/>
  <c r="AK3" i="1"/>
  <c r="AM4" i="1"/>
  <c r="AM5" i="1"/>
  <c r="AM6" i="1"/>
  <c r="AM7" i="1"/>
  <c r="AM8" i="1"/>
  <c r="AM9" i="1"/>
  <c r="AM10" i="1"/>
  <c r="AM11" i="1"/>
  <c r="AM12" i="1"/>
  <c r="AM13" i="1"/>
  <c r="AM14" i="1"/>
  <c r="AM15" i="1"/>
  <c r="AM16" i="1"/>
  <c r="AM17" i="1"/>
  <c r="AM18" i="1"/>
  <c r="AM19" i="1"/>
  <c r="AM20" i="1"/>
  <c r="AM21" i="1"/>
  <c r="AM22" i="1"/>
  <c r="AM23" i="1"/>
  <c r="AM24" i="1"/>
  <c r="AM25" i="1"/>
  <c r="AM26" i="1"/>
  <c r="AM27" i="1"/>
  <c r="AM28" i="1"/>
  <c r="AM29" i="1"/>
  <c r="AM30" i="1"/>
  <c r="AM31" i="1"/>
  <c r="AM32" i="1"/>
  <c r="AM33" i="1"/>
  <c r="AM34" i="1"/>
  <c r="AM35" i="1"/>
  <c r="AM36" i="1"/>
  <c r="AM37" i="1"/>
  <c r="AM38" i="1"/>
  <c r="AM39" i="1"/>
  <c r="AM40" i="1"/>
  <c r="AM41" i="1"/>
  <c r="AM42" i="1"/>
  <c r="AM43" i="1"/>
  <c r="AM44" i="1"/>
  <c r="AM45" i="1"/>
  <c r="AM46" i="1"/>
  <c r="AM47" i="1"/>
  <c r="AM48" i="1"/>
  <c r="AM49" i="1"/>
  <c r="AM50" i="1"/>
  <c r="AM51" i="1"/>
  <c r="AM52" i="1"/>
  <c r="AM53" i="1"/>
  <c r="AM54" i="1"/>
  <c r="AM55" i="1"/>
  <c r="AM56" i="1"/>
  <c r="AM57" i="1"/>
  <c r="AM58" i="1"/>
  <c r="AM59" i="1"/>
  <c r="AM60" i="1"/>
  <c r="AM61" i="1"/>
  <c r="AM62" i="1"/>
  <c r="AM63" i="1"/>
  <c r="AM64" i="1"/>
  <c r="AM65" i="1"/>
  <c r="AM66" i="1"/>
  <c r="AM67" i="1"/>
  <c r="AM68" i="1"/>
  <c r="AM69" i="1"/>
  <c r="AM70" i="1"/>
  <c r="AM71" i="1"/>
  <c r="AM72" i="1"/>
  <c r="AM73" i="1"/>
  <c r="AM74" i="1"/>
  <c r="AM75" i="1"/>
  <c r="AM76" i="1"/>
  <c r="AM77" i="1"/>
  <c r="AM78" i="1"/>
  <c r="AM79" i="1"/>
  <c r="AM80" i="1"/>
  <c r="AM81" i="1"/>
  <c r="AM82" i="1"/>
  <c r="AM83" i="1"/>
  <c r="AM84" i="1"/>
  <c r="AM85" i="1"/>
  <c r="AM86" i="1"/>
  <c r="AM87" i="1"/>
  <c r="AM88" i="1"/>
  <c r="AM89" i="1"/>
  <c r="AM90" i="1"/>
  <c r="AM91" i="1"/>
  <c r="AM92" i="1"/>
  <c r="AM93" i="1"/>
  <c r="AM94" i="1"/>
  <c r="AM95" i="1"/>
  <c r="AM96" i="1"/>
  <c r="AM97" i="1"/>
  <c r="AM98" i="1"/>
  <c r="AM99" i="1"/>
  <c r="AM100" i="1"/>
  <c r="AM101" i="1"/>
  <c r="AM3" i="1"/>
  <c r="AL4" i="1"/>
  <c r="AL5" i="1"/>
  <c r="AL6" i="1"/>
  <c r="AL7" i="1"/>
  <c r="AL8" i="1"/>
  <c r="AL9" i="1"/>
  <c r="AL10" i="1"/>
  <c r="AL11" i="1"/>
  <c r="AL12" i="1"/>
  <c r="AL13" i="1"/>
  <c r="AL14" i="1"/>
  <c r="AL15" i="1"/>
  <c r="AL16" i="1"/>
  <c r="AL17" i="1"/>
  <c r="AL18" i="1"/>
  <c r="AL19" i="1"/>
  <c r="AL20" i="1"/>
  <c r="AL21" i="1"/>
  <c r="AL22" i="1"/>
  <c r="AL23" i="1"/>
  <c r="AL24" i="1"/>
  <c r="AL25" i="1"/>
  <c r="AL26" i="1"/>
  <c r="AL27" i="1"/>
  <c r="AL28" i="1"/>
  <c r="AL29" i="1"/>
  <c r="AL30" i="1"/>
  <c r="AL31" i="1"/>
  <c r="AL32" i="1"/>
  <c r="AL33" i="1"/>
  <c r="AL34" i="1"/>
  <c r="AL35" i="1"/>
  <c r="AL36" i="1"/>
  <c r="AL37" i="1"/>
  <c r="AL38" i="1"/>
  <c r="AL39" i="1"/>
  <c r="AL40" i="1"/>
  <c r="AL41" i="1"/>
  <c r="AL42" i="1"/>
  <c r="AL43" i="1"/>
  <c r="AL44" i="1"/>
  <c r="AL45" i="1"/>
  <c r="AL46" i="1"/>
  <c r="AL47" i="1"/>
  <c r="AL48" i="1"/>
  <c r="AL49" i="1"/>
  <c r="AL50" i="1"/>
  <c r="AL51" i="1"/>
  <c r="AL52" i="1"/>
  <c r="AL53" i="1"/>
  <c r="AL54" i="1"/>
  <c r="AL55" i="1"/>
  <c r="AL56" i="1"/>
  <c r="AL57" i="1"/>
  <c r="AL58" i="1"/>
  <c r="AL59" i="1"/>
  <c r="AL60" i="1"/>
  <c r="AL61" i="1"/>
  <c r="AL62" i="1"/>
  <c r="AL63" i="1"/>
  <c r="AL64" i="1"/>
  <c r="AL65" i="1"/>
  <c r="AL66" i="1"/>
  <c r="AL67" i="1"/>
  <c r="AL68" i="1"/>
  <c r="AL69" i="1"/>
  <c r="AL70" i="1"/>
  <c r="AL71" i="1"/>
  <c r="AL72" i="1"/>
  <c r="AL73" i="1"/>
  <c r="AL74" i="1"/>
  <c r="AL75" i="1"/>
  <c r="AL76" i="1"/>
  <c r="AL77" i="1"/>
  <c r="AL78" i="1"/>
  <c r="AL79" i="1"/>
  <c r="AL80" i="1"/>
  <c r="AL81" i="1"/>
  <c r="AL82" i="1"/>
  <c r="AL83" i="1"/>
  <c r="AL84" i="1"/>
  <c r="AL85" i="1"/>
  <c r="AL86" i="1"/>
  <c r="AL87" i="1"/>
  <c r="AL88" i="1"/>
  <c r="AL89" i="1"/>
  <c r="AL90" i="1"/>
  <c r="AL91" i="1"/>
  <c r="AL92" i="1"/>
  <c r="AL93" i="1"/>
  <c r="AL94" i="1"/>
  <c r="AL95" i="1"/>
  <c r="AL96" i="1"/>
  <c r="AL97" i="1"/>
  <c r="AL98" i="1"/>
  <c r="AL99" i="1"/>
  <c r="AL100" i="1"/>
  <c r="AL101" i="1"/>
  <c r="AL3" i="1"/>
  <c r="AT3" i="1"/>
  <c r="AQ3" i="1"/>
  <c r="AP4" i="1"/>
  <c r="BA4" i="1"/>
  <c r="BA5" i="1"/>
  <c r="BA6" i="1"/>
  <c r="BA7" i="1"/>
  <c r="BA8" i="1"/>
  <c r="BA9" i="1"/>
  <c r="BA10" i="1"/>
  <c r="BA11" i="1"/>
  <c r="BA12" i="1"/>
  <c r="BA13" i="1"/>
  <c r="BA14" i="1"/>
  <c r="BA15" i="1"/>
  <c r="BA16" i="1"/>
  <c r="BA17" i="1"/>
  <c r="BA18" i="1"/>
  <c r="BA19" i="1"/>
  <c r="BA20" i="1"/>
  <c r="BA21" i="1"/>
  <c r="BA22" i="1"/>
  <c r="BA23" i="1"/>
  <c r="BA24" i="1"/>
  <c r="BA25" i="1"/>
  <c r="BA26" i="1"/>
  <c r="BA27" i="1"/>
  <c r="BA28" i="1"/>
  <c r="BA29" i="1"/>
  <c r="BA30" i="1"/>
  <c r="BA31" i="1"/>
  <c r="BA32" i="1"/>
  <c r="BA33" i="1"/>
  <c r="BA34" i="1"/>
  <c r="BA35" i="1"/>
  <c r="BA36" i="1"/>
  <c r="BA37" i="1"/>
  <c r="BA38" i="1"/>
  <c r="BA39" i="1"/>
  <c r="BA40" i="1"/>
  <c r="BA41" i="1"/>
  <c r="BA42" i="1"/>
  <c r="BA43" i="1"/>
  <c r="BA44" i="1"/>
  <c r="BA45" i="1"/>
  <c r="BA46" i="1"/>
  <c r="BA47" i="1"/>
  <c r="BA48" i="1"/>
  <c r="BA49" i="1"/>
  <c r="BA50" i="1"/>
  <c r="BA51" i="1"/>
  <c r="BA52" i="1"/>
  <c r="BA53" i="1"/>
  <c r="BA54" i="1"/>
  <c r="BA55" i="1"/>
  <c r="BA56" i="1"/>
  <c r="BA57" i="1"/>
  <c r="BA58" i="1"/>
  <c r="BA59" i="1"/>
  <c r="BA60" i="1"/>
  <c r="BA61" i="1"/>
  <c r="BA62" i="1"/>
  <c r="BA63" i="1"/>
  <c r="BA64" i="1"/>
  <c r="BA65" i="1"/>
  <c r="BA66" i="1"/>
  <c r="BA67" i="1"/>
  <c r="BA68" i="1"/>
  <c r="BA69" i="1"/>
  <c r="BA70" i="1"/>
  <c r="BA71" i="1"/>
  <c r="BA72" i="1"/>
  <c r="BA73" i="1"/>
  <c r="BA74" i="1"/>
  <c r="BA75" i="1"/>
  <c r="BA76" i="1"/>
  <c r="BA77" i="1"/>
  <c r="BA78" i="1"/>
  <c r="BA79" i="1"/>
  <c r="BA80" i="1"/>
  <c r="BA81" i="1"/>
  <c r="BA82" i="1"/>
  <c r="BA83" i="1"/>
  <c r="BA84" i="1"/>
  <c r="BA85" i="1"/>
  <c r="BA86" i="1"/>
  <c r="BA87" i="1"/>
  <c r="BA88" i="1"/>
  <c r="BA89" i="1"/>
  <c r="BA90" i="1"/>
  <c r="BA91" i="1"/>
  <c r="BA92" i="1"/>
  <c r="BA93" i="1"/>
  <c r="BA94" i="1"/>
  <c r="BA95" i="1"/>
  <c r="BA96" i="1"/>
  <c r="BA97" i="1"/>
  <c r="BA98" i="1"/>
  <c r="BA99" i="1"/>
  <c r="BA100" i="1"/>
  <c r="BA101" i="1"/>
  <c r="BA3" i="1"/>
  <c r="AZ4" i="1"/>
  <c r="AZ5" i="1"/>
  <c r="AZ6" i="1"/>
  <c r="AZ7" i="1"/>
  <c r="AZ8" i="1"/>
  <c r="AZ9" i="1"/>
  <c r="AZ10" i="1"/>
  <c r="AZ11" i="1"/>
  <c r="AZ12" i="1"/>
  <c r="AZ13" i="1"/>
  <c r="AZ14" i="1"/>
  <c r="AZ15" i="1"/>
  <c r="AZ16" i="1"/>
  <c r="AZ17" i="1"/>
  <c r="AZ18" i="1"/>
  <c r="AZ19" i="1"/>
  <c r="AZ20" i="1"/>
  <c r="AZ21" i="1"/>
  <c r="AZ22" i="1"/>
  <c r="AZ23" i="1"/>
  <c r="AZ24" i="1"/>
  <c r="AZ25" i="1"/>
  <c r="AZ26" i="1"/>
  <c r="AZ27" i="1"/>
  <c r="AZ28" i="1"/>
  <c r="AZ29" i="1"/>
  <c r="AZ30" i="1"/>
  <c r="AZ31" i="1"/>
  <c r="AZ32" i="1"/>
  <c r="AZ33" i="1"/>
  <c r="AZ34" i="1"/>
  <c r="AZ35" i="1"/>
  <c r="AZ36" i="1"/>
  <c r="AZ37" i="1"/>
  <c r="AZ38" i="1"/>
  <c r="AZ39" i="1"/>
  <c r="AZ40" i="1"/>
  <c r="AZ41" i="1"/>
  <c r="AZ42" i="1"/>
  <c r="AZ43" i="1"/>
  <c r="AZ44" i="1"/>
  <c r="AZ45" i="1"/>
  <c r="AZ46" i="1"/>
  <c r="AZ47" i="1"/>
  <c r="AZ48" i="1"/>
  <c r="AZ49" i="1"/>
  <c r="AZ50" i="1"/>
  <c r="AZ51" i="1"/>
  <c r="AZ52" i="1"/>
  <c r="AZ53" i="1"/>
  <c r="AZ54" i="1"/>
  <c r="AZ55" i="1"/>
  <c r="AZ56" i="1"/>
  <c r="AZ57" i="1"/>
  <c r="AZ58" i="1"/>
  <c r="AZ59" i="1"/>
  <c r="AZ60" i="1"/>
  <c r="AZ61" i="1"/>
  <c r="AZ62" i="1"/>
  <c r="AZ63" i="1"/>
  <c r="AZ64" i="1"/>
  <c r="AZ65" i="1"/>
  <c r="AZ66" i="1"/>
  <c r="AZ67" i="1"/>
  <c r="AZ68" i="1"/>
  <c r="AZ69" i="1"/>
  <c r="AZ70" i="1"/>
  <c r="AZ71" i="1"/>
  <c r="AZ72" i="1"/>
  <c r="AZ73" i="1"/>
  <c r="AZ74" i="1"/>
  <c r="AZ75" i="1"/>
  <c r="AZ76" i="1"/>
  <c r="AZ77" i="1"/>
  <c r="AZ78" i="1"/>
  <c r="AZ79" i="1"/>
  <c r="AZ80" i="1"/>
  <c r="AZ81" i="1"/>
  <c r="AZ82" i="1"/>
  <c r="AZ83" i="1"/>
  <c r="AZ84" i="1"/>
  <c r="AZ85" i="1"/>
  <c r="AZ86" i="1"/>
  <c r="AZ87" i="1"/>
  <c r="AZ88" i="1"/>
  <c r="AZ89" i="1"/>
  <c r="AZ90" i="1"/>
  <c r="AZ91" i="1"/>
  <c r="AZ92" i="1"/>
  <c r="AZ93" i="1"/>
  <c r="AZ94" i="1"/>
  <c r="AZ95" i="1"/>
  <c r="AZ96" i="1"/>
  <c r="AZ97" i="1"/>
  <c r="AZ98" i="1"/>
  <c r="AZ99" i="1"/>
  <c r="AZ100" i="1"/>
  <c r="AZ101" i="1"/>
  <c r="AZ3" i="1"/>
  <c r="AY4" i="1"/>
  <c r="AY5" i="1"/>
  <c r="AY6" i="1"/>
  <c r="AY7" i="1"/>
  <c r="AY8" i="1"/>
  <c r="AY9" i="1"/>
  <c r="AY10" i="1"/>
  <c r="AY11" i="1"/>
  <c r="AY12" i="1"/>
  <c r="AY13" i="1"/>
  <c r="AY14" i="1"/>
  <c r="AY15" i="1"/>
  <c r="AY16" i="1"/>
  <c r="AY17" i="1"/>
  <c r="AY18" i="1"/>
  <c r="AY19" i="1"/>
  <c r="AY20" i="1"/>
  <c r="AY21" i="1"/>
  <c r="AY22" i="1"/>
  <c r="AY23" i="1"/>
  <c r="AY24" i="1"/>
  <c r="AY25" i="1"/>
  <c r="AY26" i="1"/>
  <c r="AY27" i="1"/>
  <c r="AY28" i="1"/>
  <c r="AY29" i="1"/>
  <c r="AY30" i="1"/>
  <c r="AY31" i="1"/>
  <c r="AY32" i="1"/>
  <c r="AY33" i="1"/>
  <c r="AY34" i="1"/>
  <c r="AY35" i="1"/>
  <c r="AY36" i="1"/>
  <c r="AY37" i="1"/>
  <c r="AY38" i="1"/>
  <c r="AY39" i="1"/>
  <c r="AY40" i="1"/>
  <c r="AY41" i="1"/>
  <c r="AY42" i="1"/>
  <c r="AY43" i="1"/>
  <c r="AY44" i="1"/>
  <c r="AY45" i="1"/>
  <c r="AY46" i="1"/>
  <c r="AY47" i="1"/>
  <c r="AY48" i="1"/>
  <c r="AY49" i="1"/>
  <c r="AY50" i="1"/>
  <c r="AY51" i="1"/>
  <c r="AY52" i="1"/>
  <c r="AY53" i="1"/>
  <c r="AY54" i="1"/>
  <c r="AY55" i="1"/>
  <c r="AY56" i="1"/>
  <c r="AY57" i="1"/>
  <c r="AY58" i="1"/>
  <c r="AY59" i="1"/>
  <c r="AY60" i="1"/>
  <c r="AY61" i="1"/>
  <c r="AY62" i="1"/>
  <c r="AY63" i="1"/>
  <c r="AY64" i="1"/>
  <c r="AY65" i="1"/>
  <c r="AY66" i="1"/>
  <c r="AY67" i="1"/>
  <c r="AY68" i="1"/>
  <c r="AY69" i="1"/>
  <c r="AY70" i="1"/>
  <c r="AY71" i="1"/>
  <c r="AY72" i="1"/>
  <c r="AY73" i="1"/>
  <c r="AY74" i="1"/>
  <c r="AY75" i="1"/>
  <c r="AY76" i="1"/>
  <c r="AY77" i="1"/>
  <c r="AY78" i="1"/>
  <c r="AY79" i="1"/>
  <c r="AY80" i="1"/>
  <c r="AY81" i="1"/>
  <c r="AY82" i="1"/>
  <c r="AY83" i="1"/>
  <c r="AY84" i="1"/>
  <c r="AY85" i="1"/>
  <c r="AY86" i="1"/>
  <c r="AY87" i="1"/>
  <c r="AY88" i="1"/>
  <c r="AY89" i="1"/>
  <c r="AY90" i="1"/>
  <c r="AY91" i="1"/>
  <c r="AY92" i="1"/>
  <c r="AY93" i="1"/>
  <c r="AY94" i="1"/>
  <c r="AY95" i="1"/>
  <c r="AY96" i="1"/>
  <c r="AY97" i="1"/>
  <c r="AY98" i="1"/>
  <c r="AY99" i="1"/>
  <c r="AY100" i="1"/>
  <c r="AY101" i="1"/>
  <c r="AY3" i="1"/>
  <c r="AX4" i="1"/>
  <c r="AX5" i="1"/>
  <c r="AX6" i="1"/>
  <c r="AX7" i="1"/>
  <c r="AX8" i="1"/>
  <c r="AX9" i="1"/>
  <c r="AX10" i="1"/>
  <c r="AX11" i="1"/>
  <c r="AX12" i="1"/>
  <c r="AX13" i="1"/>
  <c r="AX14" i="1"/>
  <c r="AX15" i="1"/>
  <c r="AX16" i="1"/>
  <c r="AX17" i="1"/>
  <c r="AX18" i="1"/>
  <c r="AX19" i="1"/>
  <c r="AX20" i="1"/>
  <c r="AX21" i="1"/>
  <c r="AX22" i="1"/>
  <c r="AX23" i="1"/>
  <c r="AX24" i="1"/>
  <c r="AX25" i="1"/>
  <c r="AX26" i="1"/>
  <c r="AX27" i="1"/>
  <c r="AX28" i="1"/>
  <c r="AX29" i="1"/>
  <c r="AX30" i="1"/>
  <c r="AX31" i="1"/>
  <c r="AX32" i="1"/>
  <c r="AX33" i="1"/>
  <c r="AX34" i="1"/>
  <c r="AX35" i="1"/>
  <c r="AX36" i="1"/>
  <c r="AX37" i="1"/>
  <c r="AX38" i="1"/>
  <c r="AX39" i="1"/>
  <c r="AX40" i="1"/>
  <c r="AX41" i="1"/>
  <c r="AX42" i="1"/>
  <c r="AX43" i="1"/>
  <c r="AX44" i="1"/>
  <c r="AX45" i="1"/>
  <c r="AX46" i="1"/>
  <c r="AX47" i="1"/>
  <c r="AX48" i="1"/>
  <c r="AX49" i="1"/>
  <c r="AX50" i="1"/>
  <c r="AX51" i="1"/>
  <c r="AX52" i="1"/>
  <c r="AX53" i="1"/>
  <c r="AX54" i="1"/>
  <c r="AX55" i="1"/>
  <c r="AX56" i="1"/>
  <c r="AX57" i="1"/>
  <c r="AX58" i="1"/>
  <c r="AX59" i="1"/>
  <c r="AX60" i="1"/>
  <c r="AX61" i="1"/>
  <c r="AX62" i="1"/>
  <c r="AX63" i="1"/>
  <c r="AX64" i="1"/>
  <c r="AX65" i="1"/>
  <c r="AX66" i="1"/>
  <c r="AX67" i="1"/>
  <c r="AX68" i="1"/>
  <c r="AX69" i="1"/>
  <c r="AX70" i="1"/>
  <c r="AX71" i="1"/>
  <c r="AX72" i="1"/>
  <c r="AX73" i="1"/>
  <c r="AX74" i="1"/>
  <c r="AX75" i="1"/>
  <c r="AX76" i="1"/>
  <c r="AX77" i="1"/>
  <c r="AX78" i="1"/>
  <c r="AX79" i="1"/>
  <c r="AX80" i="1"/>
  <c r="AX81" i="1"/>
  <c r="AX82" i="1"/>
  <c r="AX83" i="1"/>
  <c r="AX84" i="1"/>
  <c r="AX85" i="1"/>
  <c r="AX86" i="1"/>
  <c r="AX87" i="1"/>
  <c r="AX88" i="1"/>
  <c r="AX89" i="1"/>
  <c r="AX90" i="1"/>
  <c r="AX91" i="1"/>
  <c r="AX92" i="1"/>
  <c r="AX93" i="1"/>
  <c r="AX94" i="1"/>
  <c r="AX95" i="1"/>
  <c r="AX96" i="1"/>
  <c r="AX97" i="1"/>
  <c r="AX98" i="1"/>
  <c r="AX99" i="1"/>
  <c r="AX100" i="1"/>
  <c r="AX101" i="1"/>
  <c r="AX3" i="1"/>
  <c r="AW4" i="1"/>
  <c r="AW5" i="1"/>
  <c r="AW6" i="1"/>
  <c r="AW7" i="1"/>
  <c r="AW8" i="1"/>
  <c r="AW9" i="1"/>
  <c r="AW10" i="1"/>
  <c r="AW11" i="1"/>
  <c r="AW12" i="1"/>
  <c r="AW13" i="1"/>
  <c r="AW14" i="1"/>
  <c r="AW15" i="1"/>
  <c r="AW16" i="1"/>
  <c r="AW17" i="1"/>
  <c r="AW18" i="1"/>
  <c r="AW19" i="1"/>
  <c r="AW20" i="1"/>
  <c r="AW21" i="1"/>
  <c r="AW22" i="1"/>
  <c r="AW23" i="1"/>
  <c r="AW24" i="1"/>
  <c r="AW25" i="1"/>
  <c r="AW26" i="1"/>
  <c r="AW27" i="1"/>
  <c r="AW28" i="1"/>
  <c r="AW29" i="1"/>
  <c r="AW30" i="1"/>
  <c r="AW31" i="1"/>
  <c r="AW32" i="1"/>
  <c r="AW33" i="1"/>
  <c r="AW34" i="1"/>
  <c r="AW35" i="1"/>
  <c r="AW36" i="1"/>
  <c r="AW37" i="1"/>
  <c r="AW38" i="1"/>
  <c r="AW39" i="1"/>
  <c r="AW40" i="1"/>
  <c r="AW41" i="1"/>
  <c r="AW42" i="1"/>
  <c r="AW43" i="1"/>
  <c r="AW44" i="1"/>
  <c r="AW45" i="1"/>
  <c r="AW46" i="1"/>
  <c r="AW47" i="1"/>
  <c r="AW48" i="1"/>
  <c r="AW49" i="1"/>
  <c r="AW50" i="1"/>
  <c r="AW51" i="1"/>
  <c r="AW52" i="1"/>
  <c r="AW53" i="1"/>
  <c r="AW54" i="1"/>
  <c r="AW55" i="1"/>
  <c r="AW56" i="1"/>
  <c r="AW57" i="1"/>
  <c r="AW58" i="1"/>
  <c r="AW59" i="1"/>
  <c r="AW60" i="1"/>
  <c r="AW61" i="1"/>
  <c r="AW62" i="1"/>
  <c r="AW63" i="1"/>
  <c r="AW64" i="1"/>
  <c r="AW65" i="1"/>
  <c r="AW66" i="1"/>
  <c r="AW67" i="1"/>
  <c r="AW68" i="1"/>
  <c r="AW69" i="1"/>
  <c r="AW70" i="1"/>
  <c r="AW71" i="1"/>
  <c r="AW72" i="1"/>
  <c r="AW73" i="1"/>
  <c r="AW74" i="1"/>
  <c r="AW75" i="1"/>
  <c r="AW76" i="1"/>
  <c r="AW77" i="1"/>
  <c r="AW78" i="1"/>
  <c r="AW79" i="1"/>
  <c r="AW80" i="1"/>
  <c r="AW81" i="1"/>
  <c r="AW82" i="1"/>
  <c r="AW83" i="1"/>
  <c r="AW84" i="1"/>
  <c r="AW85" i="1"/>
  <c r="AW86" i="1"/>
  <c r="AW87" i="1"/>
  <c r="AW88" i="1"/>
  <c r="AW89" i="1"/>
  <c r="AW90" i="1"/>
  <c r="AW91" i="1"/>
  <c r="AW92" i="1"/>
  <c r="AW93" i="1"/>
  <c r="AW94" i="1"/>
  <c r="AW95" i="1"/>
  <c r="AW96" i="1"/>
  <c r="AW97" i="1"/>
  <c r="AW98" i="1"/>
  <c r="AW99" i="1"/>
  <c r="AW100" i="1"/>
  <c r="AW101" i="1"/>
  <c r="AW3" i="1"/>
  <c r="AV4" i="1"/>
  <c r="AV5" i="1"/>
  <c r="AV6" i="1"/>
  <c r="AV7" i="1"/>
  <c r="AV8" i="1"/>
  <c r="AV9" i="1"/>
  <c r="AV10" i="1"/>
  <c r="AV11" i="1"/>
  <c r="AV12" i="1"/>
  <c r="AV13" i="1"/>
  <c r="AV14" i="1"/>
  <c r="AV15" i="1"/>
  <c r="AV16" i="1"/>
  <c r="AV17" i="1"/>
  <c r="AV18" i="1"/>
  <c r="AV19" i="1"/>
  <c r="AV20" i="1"/>
  <c r="AV21" i="1"/>
  <c r="AV22" i="1"/>
  <c r="AV23" i="1"/>
  <c r="AV24" i="1"/>
  <c r="AV25" i="1"/>
  <c r="AV26" i="1"/>
  <c r="AV27" i="1"/>
  <c r="AV28" i="1"/>
  <c r="AV29" i="1"/>
  <c r="AV30" i="1"/>
  <c r="AV31" i="1"/>
  <c r="AV32" i="1"/>
  <c r="AV33" i="1"/>
  <c r="AV34" i="1"/>
  <c r="AV35" i="1"/>
  <c r="AV36" i="1"/>
  <c r="AV37" i="1"/>
  <c r="AV38" i="1"/>
  <c r="AV39" i="1"/>
  <c r="AV40" i="1"/>
  <c r="AV41" i="1"/>
  <c r="AV42" i="1"/>
  <c r="AV43" i="1"/>
  <c r="AV44" i="1"/>
  <c r="AV45" i="1"/>
  <c r="AV46" i="1"/>
  <c r="AV47" i="1"/>
  <c r="AV48" i="1"/>
  <c r="AV49" i="1"/>
  <c r="AV50" i="1"/>
  <c r="AV51" i="1"/>
  <c r="AV52" i="1"/>
  <c r="AV53" i="1"/>
  <c r="AV54" i="1"/>
  <c r="AV55" i="1"/>
  <c r="AV56" i="1"/>
  <c r="AV57" i="1"/>
  <c r="AV58" i="1"/>
  <c r="AV59" i="1"/>
  <c r="AV60" i="1"/>
  <c r="AV61" i="1"/>
  <c r="AV62" i="1"/>
  <c r="AV63" i="1"/>
  <c r="AV64" i="1"/>
  <c r="AV65" i="1"/>
  <c r="AV66" i="1"/>
  <c r="AV67" i="1"/>
  <c r="AV68" i="1"/>
  <c r="AV69" i="1"/>
  <c r="AV70" i="1"/>
  <c r="AV71" i="1"/>
  <c r="AV72" i="1"/>
  <c r="AV73" i="1"/>
  <c r="AV74" i="1"/>
  <c r="AV75" i="1"/>
  <c r="AV76" i="1"/>
  <c r="AV77" i="1"/>
  <c r="AV78" i="1"/>
  <c r="AV79" i="1"/>
  <c r="AV80" i="1"/>
  <c r="AV81" i="1"/>
  <c r="AV82" i="1"/>
  <c r="AV83" i="1"/>
  <c r="AV84" i="1"/>
  <c r="AV85" i="1"/>
  <c r="AV86" i="1"/>
  <c r="AV87" i="1"/>
  <c r="AV88" i="1"/>
  <c r="AV89" i="1"/>
  <c r="AV90" i="1"/>
  <c r="AV91" i="1"/>
  <c r="AV92" i="1"/>
  <c r="AV93" i="1"/>
  <c r="AV94" i="1"/>
  <c r="AV95" i="1"/>
  <c r="AV96" i="1"/>
  <c r="AV97" i="1"/>
  <c r="AV98" i="1"/>
  <c r="AV99" i="1"/>
  <c r="AV100" i="1"/>
  <c r="AV101" i="1"/>
  <c r="AV3" i="1"/>
  <c r="AU3" i="1"/>
  <c r="AR3" i="1"/>
  <c r="AP5" i="1"/>
  <c r="AP6" i="1"/>
  <c r="AP7" i="1"/>
  <c r="AP8" i="1"/>
  <c r="AP9" i="1"/>
  <c r="AP10" i="1"/>
  <c r="AP11" i="1"/>
  <c r="AP12" i="1"/>
  <c r="AP13" i="1"/>
  <c r="AP14" i="1"/>
  <c r="AP15" i="1"/>
  <c r="AP16" i="1"/>
  <c r="AP17" i="1"/>
  <c r="AP18" i="1"/>
  <c r="AP19" i="1"/>
  <c r="AP20" i="1"/>
  <c r="AP21" i="1"/>
  <c r="AP22" i="1"/>
  <c r="AP23" i="1"/>
  <c r="AP24" i="1"/>
  <c r="AP25" i="1"/>
  <c r="AP26" i="1"/>
  <c r="AP27" i="1"/>
  <c r="AP28" i="1"/>
  <c r="AP29" i="1"/>
  <c r="AP30" i="1"/>
  <c r="AP31" i="1"/>
  <c r="AP32" i="1"/>
  <c r="AP33" i="1"/>
  <c r="AP34" i="1"/>
  <c r="AP35" i="1"/>
  <c r="AP36" i="1"/>
  <c r="AP37" i="1"/>
  <c r="AP38" i="1"/>
  <c r="AP39" i="1"/>
  <c r="AP40" i="1"/>
  <c r="AP41" i="1"/>
  <c r="AP42" i="1"/>
  <c r="AP43" i="1"/>
  <c r="AP44" i="1"/>
  <c r="AP45" i="1"/>
  <c r="AP46" i="1"/>
  <c r="AP47" i="1"/>
  <c r="AP48" i="1"/>
  <c r="AP49" i="1"/>
  <c r="AP50" i="1"/>
  <c r="AP51" i="1"/>
  <c r="AP52" i="1"/>
  <c r="AP53" i="1"/>
  <c r="AP54" i="1"/>
  <c r="AP55" i="1"/>
  <c r="AP56" i="1"/>
  <c r="AP57" i="1"/>
  <c r="AP58" i="1"/>
  <c r="AP59" i="1"/>
  <c r="AP60" i="1"/>
  <c r="AP61" i="1"/>
  <c r="AP62" i="1"/>
  <c r="AP63" i="1"/>
  <c r="AP64" i="1"/>
  <c r="AP65" i="1"/>
  <c r="AP66" i="1"/>
  <c r="AP67" i="1"/>
  <c r="AP68" i="1"/>
  <c r="AP69" i="1"/>
  <c r="AP70" i="1"/>
  <c r="AP71" i="1"/>
  <c r="AP72" i="1"/>
  <c r="AP73" i="1"/>
  <c r="AP74" i="1"/>
  <c r="AP75" i="1"/>
  <c r="AP76" i="1"/>
  <c r="AP77" i="1"/>
  <c r="AP78" i="1"/>
  <c r="AP79" i="1"/>
  <c r="AP80" i="1"/>
  <c r="AP81" i="1"/>
  <c r="AP82" i="1"/>
  <c r="AP83" i="1"/>
  <c r="AP84" i="1"/>
  <c r="AP85" i="1"/>
  <c r="AP86" i="1"/>
  <c r="AP87" i="1"/>
  <c r="AP88" i="1"/>
  <c r="AP89" i="1"/>
  <c r="AP90" i="1"/>
  <c r="AP91" i="1"/>
  <c r="AP92" i="1"/>
  <c r="AP93" i="1"/>
  <c r="AP94" i="1"/>
  <c r="AP95" i="1"/>
  <c r="AP96" i="1"/>
  <c r="AP97" i="1"/>
  <c r="AP98" i="1"/>
  <c r="AP99" i="1"/>
  <c r="AP100" i="1"/>
  <c r="AP101" i="1"/>
  <c r="AP3" i="1"/>
  <c r="AJ4" i="1"/>
  <c r="AJ5" i="1"/>
  <c r="AJ6" i="1"/>
  <c r="AJ7" i="1"/>
  <c r="AJ8" i="1"/>
  <c r="AJ9" i="1"/>
  <c r="AJ10" i="1"/>
  <c r="AJ11" i="1"/>
  <c r="AJ12" i="1"/>
  <c r="AJ13" i="1"/>
  <c r="AJ14" i="1"/>
  <c r="AJ15" i="1"/>
  <c r="AJ16" i="1"/>
  <c r="AJ17" i="1"/>
  <c r="AJ18" i="1"/>
  <c r="AJ19" i="1"/>
  <c r="AJ20" i="1"/>
  <c r="AJ21" i="1"/>
  <c r="AJ22" i="1"/>
  <c r="AJ23" i="1"/>
  <c r="AJ24" i="1"/>
  <c r="AJ25" i="1"/>
  <c r="AJ26" i="1"/>
  <c r="AJ27" i="1"/>
  <c r="AJ28" i="1"/>
  <c r="AJ29" i="1"/>
  <c r="AJ30" i="1"/>
  <c r="AJ31" i="1"/>
  <c r="AJ32" i="1"/>
  <c r="AJ33" i="1"/>
  <c r="AJ34" i="1"/>
  <c r="AJ35" i="1"/>
  <c r="AJ36" i="1"/>
  <c r="AJ37" i="1"/>
  <c r="AJ38" i="1"/>
  <c r="AJ39" i="1"/>
  <c r="AJ40" i="1"/>
  <c r="AJ41" i="1"/>
  <c r="AJ42" i="1"/>
  <c r="AJ43" i="1"/>
  <c r="AJ44" i="1"/>
  <c r="AJ45" i="1"/>
  <c r="AJ46" i="1"/>
  <c r="AJ47" i="1"/>
  <c r="AJ48" i="1"/>
  <c r="AJ49" i="1"/>
  <c r="AJ50" i="1"/>
  <c r="AJ51" i="1"/>
  <c r="AJ52" i="1"/>
  <c r="AJ53" i="1"/>
  <c r="AJ54" i="1"/>
  <c r="AJ55" i="1"/>
  <c r="AJ56" i="1"/>
  <c r="AJ57" i="1"/>
  <c r="AJ58" i="1"/>
  <c r="AJ59" i="1"/>
  <c r="AJ60" i="1"/>
  <c r="AJ61" i="1"/>
  <c r="AJ62" i="1"/>
  <c r="AJ63" i="1"/>
  <c r="AJ64" i="1"/>
  <c r="AJ65" i="1"/>
  <c r="AJ66" i="1"/>
  <c r="AJ67" i="1"/>
  <c r="AJ68" i="1"/>
  <c r="AJ69" i="1"/>
  <c r="AJ70" i="1"/>
  <c r="AJ71" i="1"/>
  <c r="AJ72" i="1"/>
  <c r="AJ73" i="1"/>
  <c r="AJ74" i="1"/>
  <c r="AJ75" i="1"/>
  <c r="AJ76" i="1"/>
  <c r="AJ77" i="1"/>
  <c r="AJ78" i="1"/>
  <c r="AJ79" i="1"/>
  <c r="AJ80" i="1"/>
  <c r="AJ81" i="1"/>
  <c r="AJ82" i="1"/>
  <c r="AJ83" i="1"/>
  <c r="AJ84" i="1"/>
  <c r="AJ85" i="1"/>
  <c r="AJ86" i="1"/>
  <c r="AJ87" i="1"/>
  <c r="AJ88" i="1"/>
  <c r="AJ89" i="1"/>
  <c r="AJ90" i="1"/>
  <c r="AJ91" i="1"/>
  <c r="AJ92" i="1"/>
  <c r="AJ93" i="1"/>
  <c r="AJ94" i="1"/>
  <c r="AJ95" i="1"/>
  <c r="AJ96" i="1"/>
  <c r="AJ97" i="1"/>
  <c r="AJ98" i="1"/>
  <c r="AJ99" i="1"/>
  <c r="AJ100" i="1"/>
  <c r="AJ101" i="1"/>
  <c r="AJ3" i="1"/>
  <c r="AI4" i="1"/>
  <c r="AI5" i="1"/>
  <c r="AI6" i="1"/>
  <c r="AI7" i="1"/>
  <c r="AI8" i="1"/>
  <c r="AI9" i="1"/>
  <c r="AI10" i="1"/>
  <c r="AI11" i="1"/>
  <c r="AI12" i="1"/>
  <c r="AI13" i="1"/>
  <c r="AI14" i="1"/>
  <c r="AI15" i="1"/>
  <c r="AI16" i="1"/>
  <c r="AI17" i="1"/>
  <c r="AI18" i="1"/>
  <c r="AI19" i="1"/>
  <c r="AI20" i="1"/>
  <c r="AI21" i="1"/>
  <c r="AI22" i="1"/>
  <c r="AI23" i="1"/>
  <c r="AI24" i="1"/>
  <c r="AI25" i="1"/>
  <c r="AI26" i="1"/>
  <c r="AI27" i="1"/>
  <c r="AI28" i="1"/>
  <c r="AI29" i="1"/>
  <c r="AI30" i="1"/>
  <c r="AI31" i="1"/>
  <c r="AI32" i="1"/>
  <c r="AI33" i="1"/>
  <c r="AI34" i="1"/>
  <c r="AI35" i="1"/>
  <c r="AI36" i="1"/>
  <c r="AI37" i="1"/>
  <c r="AI38" i="1"/>
  <c r="AI39" i="1"/>
  <c r="AI40" i="1"/>
  <c r="AI41" i="1"/>
  <c r="AI42" i="1"/>
  <c r="AI43" i="1"/>
  <c r="AI44" i="1"/>
  <c r="AI45" i="1"/>
  <c r="AI46" i="1"/>
  <c r="AI47" i="1"/>
  <c r="AI48" i="1"/>
  <c r="AI49" i="1"/>
  <c r="AI50" i="1"/>
  <c r="AI51" i="1"/>
  <c r="AI52" i="1"/>
  <c r="AI53" i="1"/>
  <c r="AI54" i="1"/>
  <c r="AI55" i="1"/>
  <c r="AI56" i="1"/>
  <c r="AI57" i="1"/>
  <c r="AI58" i="1"/>
  <c r="AI59" i="1"/>
  <c r="AI60" i="1"/>
  <c r="AI61" i="1"/>
  <c r="AI62" i="1"/>
  <c r="AI63" i="1"/>
  <c r="AI64" i="1"/>
  <c r="AI65" i="1"/>
  <c r="AI66" i="1"/>
  <c r="AI67" i="1"/>
  <c r="AI68" i="1"/>
  <c r="AI69" i="1"/>
  <c r="AI70" i="1"/>
  <c r="AI71" i="1"/>
  <c r="AI72" i="1"/>
  <c r="AI73" i="1"/>
  <c r="AI74" i="1"/>
  <c r="AI75" i="1"/>
  <c r="AI76" i="1"/>
  <c r="AI77" i="1"/>
  <c r="AI78" i="1"/>
  <c r="AI79" i="1"/>
  <c r="AI80" i="1"/>
  <c r="AI81" i="1"/>
  <c r="AI82" i="1"/>
  <c r="AI83" i="1"/>
  <c r="AI84" i="1"/>
  <c r="AI85" i="1"/>
  <c r="AI86" i="1"/>
  <c r="AI87" i="1"/>
  <c r="AI88" i="1"/>
  <c r="AI89" i="1"/>
  <c r="AI90" i="1"/>
  <c r="AI91" i="1"/>
  <c r="AI92" i="1"/>
  <c r="AI93" i="1"/>
  <c r="AI94" i="1"/>
  <c r="AI95" i="1"/>
  <c r="AI96" i="1"/>
  <c r="AI97" i="1"/>
  <c r="AI98" i="1"/>
  <c r="AI99" i="1"/>
  <c r="AI100" i="1"/>
  <c r="AI101" i="1"/>
  <c r="AI3" i="1"/>
  <c r="AH4" i="1"/>
  <c r="AH5" i="1"/>
  <c r="AH6" i="1"/>
  <c r="AH7" i="1"/>
  <c r="AH8" i="1"/>
  <c r="AH9" i="1"/>
  <c r="AH10" i="1"/>
  <c r="AH11" i="1"/>
  <c r="AH12" i="1"/>
  <c r="AH13" i="1"/>
  <c r="AH14" i="1"/>
  <c r="AH15" i="1"/>
  <c r="AH16" i="1"/>
  <c r="AH17" i="1"/>
  <c r="AH18" i="1"/>
  <c r="AH19" i="1"/>
  <c r="AH20" i="1"/>
  <c r="AH21" i="1"/>
  <c r="AH22" i="1"/>
  <c r="AH23" i="1"/>
  <c r="AH24" i="1"/>
  <c r="AH25" i="1"/>
  <c r="AH26" i="1"/>
  <c r="AH27" i="1"/>
  <c r="AH28" i="1"/>
  <c r="AH29" i="1"/>
  <c r="AH30" i="1"/>
  <c r="AH31" i="1"/>
  <c r="AH32" i="1"/>
  <c r="AH33" i="1"/>
  <c r="AH34" i="1"/>
  <c r="AH35" i="1"/>
  <c r="AH36" i="1"/>
  <c r="AH37" i="1"/>
  <c r="AH38" i="1"/>
  <c r="AH39" i="1"/>
  <c r="AH40" i="1"/>
  <c r="AH41" i="1"/>
  <c r="AH42" i="1"/>
  <c r="AH43" i="1"/>
  <c r="AH44" i="1"/>
  <c r="AH45" i="1"/>
  <c r="AH46" i="1"/>
  <c r="AH47" i="1"/>
  <c r="AH48" i="1"/>
  <c r="AH49" i="1"/>
  <c r="AH50" i="1"/>
  <c r="AH51" i="1"/>
  <c r="AH52" i="1"/>
  <c r="AH53" i="1"/>
  <c r="AH54" i="1"/>
  <c r="AH55" i="1"/>
  <c r="AH56" i="1"/>
  <c r="AH57" i="1"/>
  <c r="AH58" i="1"/>
  <c r="AH59" i="1"/>
  <c r="AH60" i="1"/>
  <c r="AH61" i="1"/>
  <c r="AH62" i="1"/>
  <c r="AH63" i="1"/>
  <c r="AH64" i="1"/>
  <c r="AH65" i="1"/>
  <c r="AH66" i="1"/>
  <c r="AH67" i="1"/>
  <c r="AH68" i="1"/>
  <c r="AH69" i="1"/>
  <c r="AH70" i="1"/>
  <c r="AH71" i="1"/>
  <c r="AH72" i="1"/>
  <c r="AH73" i="1"/>
  <c r="AH74" i="1"/>
  <c r="AH75" i="1"/>
  <c r="AH76" i="1"/>
  <c r="AH77" i="1"/>
  <c r="AH78" i="1"/>
  <c r="AH79" i="1"/>
  <c r="AH80" i="1"/>
  <c r="AH81" i="1"/>
  <c r="AH82" i="1"/>
  <c r="AH83" i="1"/>
  <c r="AH84" i="1"/>
  <c r="AH85" i="1"/>
  <c r="AH86" i="1"/>
  <c r="AH87" i="1"/>
  <c r="AH88" i="1"/>
  <c r="AH89" i="1"/>
  <c r="AH90" i="1"/>
  <c r="AH91" i="1"/>
  <c r="AH92" i="1"/>
  <c r="AH93" i="1"/>
  <c r="AH94" i="1"/>
  <c r="AH95" i="1"/>
  <c r="AH96" i="1"/>
  <c r="AH97" i="1"/>
  <c r="AH98" i="1"/>
  <c r="AH99" i="1"/>
  <c r="AH100" i="1"/>
  <c r="AH101" i="1"/>
  <c r="AH3" i="1"/>
</calcChain>
</file>

<file path=xl/sharedStrings.xml><?xml version="1.0" encoding="utf-8"?>
<sst xmlns="http://schemas.openxmlformats.org/spreadsheetml/2006/main" count="2612" uniqueCount="920">
  <si>
    <t>Order_ID</t>
  </si>
  <si>
    <t>Customer_ID</t>
  </si>
  <si>
    <t>Customer_Name</t>
  </si>
  <si>
    <t>Customer_Email</t>
  </si>
  <si>
    <t>Phone_Number</t>
  </si>
  <si>
    <t>Country</t>
  </si>
  <si>
    <t>City</t>
  </si>
  <si>
    <t>Sales_Region</t>
  </si>
  <si>
    <t>Product_ID</t>
  </si>
  <si>
    <t>Product_Name</t>
  </si>
  <si>
    <t>Product_Category</t>
  </si>
  <si>
    <t>Brand</t>
  </si>
  <si>
    <t>Order_Date</t>
  </si>
  <si>
    <t>Delivery_Date</t>
  </si>
  <si>
    <t>Payment_Method</t>
  </si>
  <si>
    <t>Sales_Channel</t>
  </si>
  <si>
    <t>Quantity</t>
  </si>
  <si>
    <t>Unit_Price</t>
  </si>
  <si>
    <t>Discount_Percentage</t>
  </si>
  <si>
    <t>Shipping_Fee</t>
  </si>
  <si>
    <t>Total_Sales</t>
  </si>
  <si>
    <t>Customer_Rating</t>
  </si>
  <si>
    <t>Order_Status</t>
  </si>
  <si>
    <t>Coupon_Code</t>
  </si>
  <si>
    <t>Employee_ID</t>
  </si>
  <si>
    <t>Warehouse_Code</t>
  </si>
  <si>
    <t>Tracking_Number</t>
  </si>
  <si>
    <t>Customer_Feedback</t>
  </si>
  <si>
    <t>Returned_Flag</t>
  </si>
  <si>
    <t>Priority_Level</t>
  </si>
  <si>
    <t>Verification_Status</t>
  </si>
  <si>
    <t>Error_Check</t>
  </si>
  <si>
    <t>Notes</t>
  </si>
  <si>
    <t>O0002</t>
  </si>
  <si>
    <t>C002</t>
  </si>
  <si>
    <t>Customer 2</t>
  </si>
  <si>
    <t>user2@mail.com</t>
  </si>
  <si>
    <t>N/A</t>
  </si>
  <si>
    <t>Jordan</t>
  </si>
  <si>
    <t>Amman</t>
  </si>
  <si>
    <t>Middle East</t>
  </si>
  <si>
    <t>P1003</t>
  </si>
  <si>
    <t>Headphones</t>
  </si>
  <si>
    <t>Accessories</t>
  </si>
  <si>
    <t>Sony</t>
  </si>
  <si>
    <t>2026-01-17</t>
  </si>
  <si>
    <t>2026-01-25</t>
  </si>
  <si>
    <t>PayPal</t>
  </si>
  <si>
    <t>Store</t>
  </si>
  <si>
    <t>Returned</t>
  </si>
  <si>
    <t>WELCOME</t>
  </si>
  <si>
    <t>E007</t>
  </si>
  <si>
    <t>WH-459</t>
  </si>
  <si>
    <t>TRK58747</t>
  </si>
  <si>
    <t>Good</t>
  </si>
  <si>
    <t>No</t>
  </si>
  <si>
    <t>Error</t>
  </si>
  <si>
    <t>Urgent order</t>
  </si>
  <si>
    <t>O0003</t>
  </si>
  <si>
    <t>C003</t>
  </si>
  <si>
    <t>Customer 3</t>
  </si>
  <si>
    <t>user3@mail.com</t>
  </si>
  <si>
    <t>Saudi Arabia</t>
  </si>
  <si>
    <t>Riyadh</t>
  </si>
  <si>
    <t>GCC</t>
  </si>
  <si>
    <t>P1004</t>
  </si>
  <si>
    <t>Desk Chair</t>
  </si>
  <si>
    <t>Furniture</t>
  </si>
  <si>
    <t>IKEA</t>
  </si>
  <si>
    <t>2026-04-12</t>
  </si>
  <si>
    <t>2026-04-15</t>
  </si>
  <si>
    <t>Cash</t>
  </si>
  <si>
    <t>Delivered</t>
  </si>
  <si>
    <t>SAVE10</t>
  </si>
  <si>
    <t>E003</t>
  </si>
  <si>
    <t>WH-652</t>
  </si>
  <si>
    <t>TRK99524</t>
  </si>
  <si>
    <t>Verified</t>
  </si>
  <si>
    <t>Check address</t>
  </si>
  <si>
    <t>O0004</t>
  </si>
  <si>
    <t>C004</t>
  </si>
  <si>
    <t>Customer 4</t>
  </si>
  <si>
    <t>user4@mail.com</t>
  </si>
  <si>
    <t>07A123456</t>
  </si>
  <si>
    <t>P1005</t>
  </si>
  <si>
    <t>Coffee Machine</t>
  </si>
  <si>
    <t>Home Appliances</t>
  </si>
  <si>
    <t>Philips</t>
  </si>
  <si>
    <t>2026-04-11</t>
  </si>
  <si>
    <t>2026-04-21</t>
  </si>
  <si>
    <t>Bank Transfer</t>
  </si>
  <si>
    <t>E008</t>
  </si>
  <si>
    <t>WH-299</t>
  </si>
  <si>
    <t>TRK34480</t>
  </si>
  <si>
    <t>Pending</t>
  </si>
  <si>
    <t>O0005</t>
  </si>
  <si>
    <t>C005</t>
  </si>
  <si>
    <t>Customer 5</t>
  </si>
  <si>
    <t xml:space="preserve"> user5@mail.com </t>
  </si>
  <si>
    <t>Egypt</t>
  </si>
  <si>
    <t>Cairo</t>
  </si>
  <si>
    <t>North Africa</t>
  </si>
  <si>
    <t>P1002</t>
  </si>
  <si>
    <t>Phone</t>
  </si>
  <si>
    <t>Electronics</t>
  </si>
  <si>
    <t>Samsung</t>
  </si>
  <si>
    <t>2026-04-19</t>
  </si>
  <si>
    <t>2026-04-25</t>
  </si>
  <si>
    <t>Credit Card</t>
  </si>
  <si>
    <t>Mobile App</t>
  </si>
  <si>
    <t>E017</t>
  </si>
  <si>
    <t>WH-212</t>
  </si>
  <si>
    <t>TRK34233</t>
  </si>
  <si>
    <t>OK</t>
  </si>
  <si>
    <t>O0006</t>
  </si>
  <si>
    <t>C006</t>
  </si>
  <si>
    <t>Customer 6</t>
  </si>
  <si>
    <t xml:space="preserve"> user6@mail.com </t>
  </si>
  <si>
    <t>2026-01-07</t>
  </si>
  <si>
    <t>2026-01-12</t>
  </si>
  <si>
    <t>E004</t>
  </si>
  <si>
    <t>WH-664</t>
  </si>
  <si>
    <t>TRK82135</t>
  </si>
  <si>
    <t>O0007</t>
  </si>
  <si>
    <t>C007</t>
  </si>
  <si>
    <t>Customer 7</t>
  </si>
  <si>
    <t>user7mail.com</t>
  </si>
  <si>
    <t>2026-01-24</t>
  </si>
  <si>
    <t>2026-02-01</t>
  </si>
  <si>
    <t>E014</t>
  </si>
  <si>
    <t>WH-947</t>
  </si>
  <si>
    <t>TRK84388</t>
  </si>
  <si>
    <t>Excellent service</t>
  </si>
  <si>
    <t>Yes</t>
  </si>
  <si>
    <t>O0008</t>
  </si>
  <si>
    <t>C008</t>
  </si>
  <si>
    <t>Customer 8</t>
  </si>
  <si>
    <t>user8@mail.com</t>
  </si>
  <si>
    <t>UAE</t>
  </si>
  <si>
    <t>Dubai</t>
  </si>
  <si>
    <t>2026-01-19</t>
  </si>
  <si>
    <t>VIP20</t>
  </si>
  <si>
    <t>WH-778</t>
  </si>
  <si>
    <t>TRK55030</t>
  </si>
  <si>
    <t>O0009</t>
  </si>
  <si>
    <t>C009</t>
  </si>
  <si>
    <t>Customer 9</t>
  </si>
  <si>
    <t xml:space="preserve"> user9@mail.com </t>
  </si>
  <si>
    <t>0791758837</t>
  </si>
  <si>
    <t>P1001</t>
  </si>
  <si>
    <t>Laptop</t>
  </si>
  <si>
    <t>Dell</t>
  </si>
  <si>
    <t>2026-05-08</t>
  </si>
  <si>
    <t>2026-05-16</t>
  </si>
  <si>
    <t>Online</t>
  </si>
  <si>
    <t>WH-480</t>
  </si>
  <si>
    <t>TRK79561</t>
  </si>
  <si>
    <t>O0010</t>
  </si>
  <si>
    <t>C010</t>
  </si>
  <si>
    <t>Customer 10</t>
  </si>
  <si>
    <t>user10@mail.com</t>
  </si>
  <si>
    <t>0799877136</t>
  </si>
  <si>
    <t>2026-01-15</t>
  </si>
  <si>
    <t>E018</t>
  </si>
  <si>
    <t>WH-679</t>
  </si>
  <si>
    <t>TRK28985</t>
  </si>
  <si>
    <t>O0011</t>
  </si>
  <si>
    <t>C011</t>
  </si>
  <si>
    <t>Customer 11</t>
  </si>
  <si>
    <t>user11mail.com</t>
  </si>
  <si>
    <t>2026-05-18</t>
  </si>
  <si>
    <t>2026-05-20</t>
  </si>
  <si>
    <t>E013</t>
  </si>
  <si>
    <t>WH-282</t>
  </si>
  <si>
    <t>TRK31711</t>
  </si>
  <si>
    <t>O0012</t>
  </si>
  <si>
    <t>C012</t>
  </si>
  <si>
    <t>Customer 12</t>
  </si>
  <si>
    <t xml:space="preserve"> user12@mail.com </t>
  </si>
  <si>
    <t>2026-02-09</t>
  </si>
  <si>
    <t>2026-02-13</t>
  </si>
  <si>
    <t>E006</t>
  </si>
  <si>
    <t>WH-968</t>
  </si>
  <si>
    <t>TRK54413</t>
  </si>
  <si>
    <t>O0013</t>
  </si>
  <si>
    <t>C013</t>
  </si>
  <si>
    <t>Customer 13</t>
  </si>
  <si>
    <t>user13mail.com</t>
  </si>
  <si>
    <t>0797966210</t>
  </si>
  <si>
    <t>2026-04-22</t>
  </si>
  <si>
    <t>WH-609</t>
  </si>
  <si>
    <t>TRK98106</t>
  </si>
  <si>
    <t xml:space="preserve"> Late delivery </t>
  </si>
  <si>
    <t>O0014</t>
  </si>
  <si>
    <t>C014</t>
  </si>
  <si>
    <t>Customer 14</t>
  </si>
  <si>
    <t xml:space="preserve"> user14@mail.com </t>
  </si>
  <si>
    <t>0797305142</t>
  </si>
  <si>
    <t>2026-05-03</t>
  </si>
  <si>
    <t>2026-05-07</t>
  </si>
  <si>
    <t>E010</t>
  </si>
  <si>
    <t>WH-831</t>
  </si>
  <si>
    <t>TRK15623</t>
  </si>
  <si>
    <t>O0015</t>
  </si>
  <si>
    <t>C015</t>
  </si>
  <si>
    <t>Customer 15</t>
  </si>
  <si>
    <t>user15@mail.com</t>
  </si>
  <si>
    <t>2026-03-04</t>
  </si>
  <si>
    <t>2026-03-06</t>
  </si>
  <si>
    <t>WH-896</t>
  </si>
  <si>
    <t>TRK33605</t>
  </si>
  <si>
    <t>O0016</t>
  </si>
  <si>
    <t>C016</t>
  </si>
  <si>
    <t>Customer 16</t>
  </si>
  <si>
    <t>user16@mail.com</t>
  </si>
  <si>
    <t>0791627713</t>
  </si>
  <si>
    <t>2026-02-18</t>
  </si>
  <si>
    <t>2026-02-22</t>
  </si>
  <si>
    <t>WH-861</t>
  </si>
  <si>
    <t>TRK64414</t>
  </si>
  <si>
    <t>O0017</t>
  </si>
  <si>
    <t>C017</t>
  </si>
  <si>
    <t>Customer 17</t>
  </si>
  <si>
    <t>user17mail.com</t>
  </si>
  <si>
    <t>2026-05-13</t>
  </si>
  <si>
    <t>2026-05-19</t>
  </si>
  <si>
    <t>E002</t>
  </si>
  <si>
    <t>WH-817</t>
  </si>
  <si>
    <t>TRK49313</t>
  </si>
  <si>
    <t>O0018</t>
  </si>
  <si>
    <t>C018</t>
  </si>
  <si>
    <t>Customer 18</t>
  </si>
  <si>
    <t xml:space="preserve"> user18@mail.com </t>
  </si>
  <si>
    <t>0794093998</t>
  </si>
  <si>
    <t>2026-01-05</t>
  </si>
  <si>
    <t>2026-01-10</t>
  </si>
  <si>
    <t>E012</t>
  </si>
  <si>
    <t>WH-974</t>
  </si>
  <si>
    <t>TRK34314</t>
  </si>
  <si>
    <t>O0019</t>
  </si>
  <si>
    <t>C019</t>
  </si>
  <si>
    <t>Customer 19</t>
  </si>
  <si>
    <t>user19@mail.com</t>
  </si>
  <si>
    <t>0796362825</t>
  </si>
  <si>
    <t>2026-02-06</t>
  </si>
  <si>
    <t>2026-02-16</t>
  </si>
  <si>
    <t>WH-219</t>
  </si>
  <si>
    <t>TRK52543</t>
  </si>
  <si>
    <t>O0020</t>
  </si>
  <si>
    <t>C020</t>
  </si>
  <si>
    <t>Customer 20</t>
  </si>
  <si>
    <t xml:space="preserve"> user20@mail.com </t>
  </si>
  <si>
    <t>0797419833</t>
  </si>
  <si>
    <t>2026-05-01</t>
  </si>
  <si>
    <t>E020</t>
  </si>
  <si>
    <t>WH-311</t>
  </si>
  <si>
    <t>TRK19799</t>
  </si>
  <si>
    <t>O0021</t>
  </si>
  <si>
    <t>C021</t>
  </si>
  <si>
    <t>Customer 21</t>
  </si>
  <si>
    <t>user21@mail.com</t>
  </si>
  <si>
    <t>2026-01-22</t>
  </si>
  <si>
    <t>2026-01-26</t>
  </si>
  <si>
    <t>WH-909</t>
  </si>
  <si>
    <t>TRK59454</t>
  </si>
  <si>
    <t>O0022</t>
  </si>
  <si>
    <t>C022</t>
  </si>
  <si>
    <t>Customer 22</t>
  </si>
  <si>
    <t>user22mail.com</t>
  </si>
  <si>
    <t>E001</t>
  </si>
  <si>
    <t>WH-120</t>
  </si>
  <si>
    <t>TRK66903</t>
  </si>
  <si>
    <t>O0023</t>
  </si>
  <si>
    <t>C023</t>
  </si>
  <si>
    <t>Customer 23</t>
  </si>
  <si>
    <t xml:space="preserve"> user23@mail.com </t>
  </si>
  <si>
    <t>2026-05-26</t>
  </si>
  <si>
    <t>2026-06-05</t>
  </si>
  <si>
    <t>WH-599</t>
  </si>
  <si>
    <t>TRK49873</t>
  </si>
  <si>
    <t>O0024</t>
  </si>
  <si>
    <t>C024</t>
  </si>
  <si>
    <t>Customer 24</t>
  </si>
  <si>
    <t>user24@mail.com</t>
  </si>
  <si>
    <t>2026-05-27</t>
  </si>
  <si>
    <t>2026-05-29</t>
  </si>
  <si>
    <t>WH-767</t>
  </si>
  <si>
    <t>TRK41389</t>
  </si>
  <si>
    <t>O0025</t>
  </si>
  <si>
    <t>C025</t>
  </si>
  <si>
    <t>Customer 25</t>
  </si>
  <si>
    <t>2026-02-27</t>
  </si>
  <si>
    <t>2026-03-02</t>
  </si>
  <si>
    <t>WH-470</t>
  </si>
  <si>
    <t>TRK99852</t>
  </si>
  <si>
    <t>O0026</t>
  </si>
  <si>
    <t>C026</t>
  </si>
  <si>
    <t>Customer 26</t>
  </si>
  <si>
    <t xml:space="preserve"> user26@mail.com </t>
  </si>
  <si>
    <t>0798756288</t>
  </si>
  <si>
    <t>2026-01-13</t>
  </si>
  <si>
    <t>2026-01-16</t>
  </si>
  <si>
    <t>WH-559</t>
  </si>
  <si>
    <t>TRK89378</t>
  </si>
  <si>
    <t>O0027</t>
  </si>
  <si>
    <t>C027</t>
  </si>
  <si>
    <t>Customer 27</t>
  </si>
  <si>
    <t>user27@mail.com</t>
  </si>
  <si>
    <t>0799297196</t>
  </si>
  <si>
    <t>2026-01-20</t>
  </si>
  <si>
    <t>WH-574</t>
  </si>
  <si>
    <t>TRK81722</t>
  </si>
  <si>
    <t>O0028</t>
  </si>
  <si>
    <t>C028</t>
  </si>
  <si>
    <t>Customer 28</t>
  </si>
  <si>
    <t>user28mail.com</t>
  </si>
  <si>
    <t>2026-02-02</t>
  </si>
  <si>
    <t>2026-02-12</t>
  </si>
  <si>
    <t>WH-984</t>
  </si>
  <si>
    <t>TRK70535</t>
  </si>
  <si>
    <t>O0029</t>
  </si>
  <si>
    <t>C029</t>
  </si>
  <si>
    <t>Customer 29</t>
  </si>
  <si>
    <t>user29@mail.com</t>
  </si>
  <si>
    <t>0793063973</t>
  </si>
  <si>
    <t>2026-05-22</t>
  </si>
  <si>
    <t>E015</t>
  </si>
  <si>
    <t>WH-301</t>
  </si>
  <si>
    <t>TRK37575</t>
  </si>
  <si>
    <t>O0030</t>
  </si>
  <si>
    <t>C030</t>
  </si>
  <si>
    <t>Customer 30</t>
  </si>
  <si>
    <t>0792729926</t>
  </si>
  <si>
    <t>2026-02-15</t>
  </si>
  <si>
    <t>E016</t>
  </si>
  <si>
    <t>TRK17478</t>
  </si>
  <si>
    <t>O0031</t>
  </si>
  <si>
    <t>C031</t>
  </si>
  <si>
    <t>Customer 31</t>
  </si>
  <si>
    <t>2026-04-01</t>
  </si>
  <si>
    <t>2026-04-04</t>
  </si>
  <si>
    <t>WH-147</t>
  </si>
  <si>
    <t>TRK18604</t>
  </si>
  <si>
    <t>O0032</t>
  </si>
  <si>
    <t>C032</t>
  </si>
  <si>
    <t>Customer 32</t>
  </si>
  <si>
    <t>user32@mail.com</t>
  </si>
  <si>
    <t>2026-03-14</t>
  </si>
  <si>
    <t>2026-03-18</t>
  </si>
  <si>
    <t>E009</t>
  </si>
  <si>
    <t>WH-556</t>
  </si>
  <si>
    <t>TRK41239</t>
  </si>
  <si>
    <t>O0033</t>
  </si>
  <si>
    <t>C033</t>
  </si>
  <si>
    <t>Customer 33</t>
  </si>
  <si>
    <t>user33mail.com</t>
  </si>
  <si>
    <t>WH-898</t>
  </si>
  <si>
    <t>TRK22995</t>
  </si>
  <si>
    <t>O0034</t>
  </si>
  <si>
    <t>C034</t>
  </si>
  <si>
    <t>Customer 34</t>
  </si>
  <si>
    <t>WH-281</t>
  </si>
  <si>
    <t>TRK43267</t>
  </si>
  <si>
    <t>O0035</t>
  </si>
  <si>
    <t>C035</t>
  </si>
  <si>
    <t>Customer 35</t>
  </si>
  <si>
    <t>user35@mail.com</t>
  </si>
  <si>
    <t>WH-485</t>
  </si>
  <si>
    <t>TRK72384</t>
  </si>
  <si>
    <t>O0036</t>
  </si>
  <si>
    <t>C036</t>
  </si>
  <si>
    <t>Customer 36</t>
  </si>
  <si>
    <t>user36mail.com</t>
  </si>
  <si>
    <t>2026-02-07</t>
  </si>
  <si>
    <t>WH-277</t>
  </si>
  <si>
    <t>TRK84221</t>
  </si>
  <si>
    <t>O0037</t>
  </si>
  <si>
    <t>C037</t>
  </si>
  <si>
    <t>Customer 37</t>
  </si>
  <si>
    <t xml:space="preserve"> user37@mail.com </t>
  </si>
  <si>
    <t>2026-03-13</t>
  </si>
  <si>
    <t>2026-03-19</t>
  </si>
  <si>
    <t>WH-877</t>
  </si>
  <si>
    <t>TRK88426</t>
  </si>
  <si>
    <t>O0038</t>
  </si>
  <si>
    <t>C038</t>
  </si>
  <si>
    <t>Customer 38</t>
  </si>
  <si>
    <t>user38mail.com</t>
  </si>
  <si>
    <t>2026-03-07</t>
  </si>
  <si>
    <t>WH-822</t>
  </si>
  <si>
    <t>TRK79067</t>
  </si>
  <si>
    <t>O0039</t>
  </si>
  <si>
    <t>C039</t>
  </si>
  <si>
    <t>Customer 39</t>
  </si>
  <si>
    <t>user39mail.com</t>
  </si>
  <si>
    <t>0799582302</t>
  </si>
  <si>
    <t>2026-04-17</t>
  </si>
  <si>
    <t>TRK94241</t>
  </si>
  <si>
    <t>O0040</t>
  </si>
  <si>
    <t>C040</t>
  </si>
  <si>
    <t>Customer 40</t>
  </si>
  <si>
    <t xml:space="preserve"> user40@mail.com </t>
  </si>
  <si>
    <t>0791090025</t>
  </si>
  <si>
    <t>2026-03-26</t>
  </si>
  <si>
    <t>2026-03-28</t>
  </si>
  <si>
    <t>WH-156</t>
  </si>
  <si>
    <t>TRK94525</t>
  </si>
  <si>
    <t>O0041</t>
  </si>
  <si>
    <t>C041</t>
  </si>
  <si>
    <t>Customer 41</t>
  </si>
  <si>
    <t>user41@mail.com</t>
  </si>
  <si>
    <t>2026-05-02</t>
  </si>
  <si>
    <t>2026-05-11</t>
  </si>
  <si>
    <t>WH-266</t>
  </si>
  <si>
    <t>TRK59674</t>
  </si>
  <si>
    <t>O0042</t>
  </si>
  <si>
    <t>C042</t>
  </si>
  <si>
    <t>Customer 42</t>
  </si>
  <si>
    <t>0791232482</t>
  </si>
  <si>
    <t>2026-04-13</t>
  </si>
  <si>
    <t>2026-04-18</t>
  </si>
  <si>
    <t>WH-132</t>
  </si>
  <si>
    <t>TRK85484</t>
  </si>
  <si>
    <t>O0043</t>
  </si>
  <si>
    <t>C043</t>
  </si>
  <si>
    <t>Customer 43</t>
  </si>
  <si>
    <t>user43mail.com</t>
  </si>
  <si>
    <t>2026-01-18</t>
  </si>
  <si>
    <t>TRK60025</t>
  </si>
  <si>
    <t>O0044</t>
  </si>
  <si>
    <t>C044</t>
  </si>
  <si>
    <t>Customer 44</t>
  </si>
  <si>
    <t>user44mail.com</t>
  </si>
  <si>
    <t>2026-02-23</t>
  </si>
  <si>
    <t>2026-02-24</t>
  </si>
  <si>
    <t>WH-434</t>
  </si>
  <si>
    <t>TRK88348</t>
  </si>
  <si>
    <t>O0045</t>
  </si>
  <si>
    <t>C045</t>
  </si>
  <si>
    <t>Customer 45</t>
  </si>
  <si>
    <t>user45mail.com</t>
  </si>
  <si>
    <t>0797534655</t>
  </si>
  <si>
    <t>2026-02-14</t>
  </si>
  <si>
    <t>WH-863</t>
  </si>
  <si>
    <t>TRK42220</t>
  </si>
  <si>
    <t>O0046</t>
  </si>
  <si>
    <t>C046</t>
  </si>
  <si>
    <t>Customer 46</t>
  </si>
  <si>
    <t>user46@mail.com</t>
  </si>
  <si>
    <t>2026-04-27</t>
  </si>
  <si>
    <t>2026-04-30</t>
  </si>
  <si>
    <t>WH-791</t>
  </si>
  <si>
    <t>TRK42477</t>
  </si>
  <si>
    <t>O0047</t>
  </si>
  <si>
    <t>C047</t>
  </si>
  <si>
    <t>Customer 47</t>
  </si>
  <si>
    <t>user47mail.com</t>
  </si>
  <si>
    <t>0797701984</t>
  </si>
  <si>
    <t>WH-657</t>
  </si>
  <si>
    <t>TRK47934</t>
  </si>
  <si>
    <t>O0048</t>
  </si>
  <si>
    <t>C048</t>
  </si>
  <si>
    <t>Customer 48</t>
  </si>
  <si>
    <t>user48@mail.com</t>
  </si>
  <si>
    <t>WH-766</t>
  </si>
  <si>
    <t>TRK85441</t>
  </si>
  <si>
    <t>O0049</t>
  </si>
  <si>
    <t>C049</t>
  </si>
  <si>
    <t>Customer 49</t>
  </si>
  <si>
    <t>2026-03-03</t>
  </si>
  <si>
    <t>WH-191</t>
  </si>
  <si>
    <t>TRK16558</t>
  </si>
  <si>
    <t>O0050</t>
  </si>
  <si>
    <t>C050</t>
  </si>
  <si>
    <t>Customer 50</t>
  </si>
  <si>
    <t xml:space="preserve"> user50@mail.com </t>
  </si>
  <si>
    <t>2026-05-05</t>
  </si>
  <si>
    <t>WH-907</t>
  </si>
  <si>
    <t>TRK90439</t>
  </si>
  <si>
    <t>O0051</t>
  </si>
  <si>
    <t>C051</t>
  </si>
  <si>
    <t>Customer 51</t>
  </si>
  <si>
    <t>user51@mail.com</t>
  </si>
  <si>
    <t>0798677118</t>
  </si>
  <si>
    <t>2026-02-20</t>
  </si>
  <si>
    <t>2026-02-26</t>
  </si>
  <si>
    <t>WH-764</t>
  </si>
  <si>
    <t>TRK20211</t>
  </si>
  <si>
    <t>O0052</t>
  </si>
  <si>
    <t>C052</t>
  </si>
  <si>
    <t>Customer 52</t>
  </si>
  <si>
    <t>user52@mail.com</t>
  </si>
  <si>
    <t>2026-02-25</t>
  </si>
  <si>
    <t>WH-957</t>
  </si>
  <si>
    <t>TRK87320</t>
  </si>
  <si>
    <t>O0053</t>
  </si>
  <si>
    <t>C053</t>
  </si>
  <si>
    <t>Customer 53</t>
  </si>
  <si>
    <t>user53mail.com</t>
  </si>
  <si>
    <t>WH-694</t>
  </si>
  <si>
    <t>TRK42414</t>
  </si>
  <si>
    <t>O0054</t>
  </si>
  <si>
    <t>C054</t>
  </si>
  <si>
    <t>Customer 54</t>
  </si>
  <si>
    <t xml:space="preserve"> user54@mail.com </t>
  </si>
  <si>
    <t>2026-01-27</t>
  </si>
  <si>
    <t>WH-407</t>
  </si>
  <si>
    <t>TRK69444</t>
  </si>
  <si>
    <t>O0055</t>
  </si>
  <si>
    <t>C055</t>
  </si>
  <si>
    <t>Customer 55</t>
  </si>
  <si>
    <t>TRK10582</t>
  </si>
  <si>
    <t>O0056</t>
  </si>
  <si>
    <t>C056</t>
  </si>
  <si>
    <t>Customer 56</t>
  </si>
  <si>
    <t>E011</t>
  </si>
  <si>
    <t>WH-256</t>
  </si>
  <si>
    <t>TRK73622</t>
  </si>
  <si>
    <t>O0057</t>
  </si>
  <si>
    <t>C057</t>
  </si>
  <si>
    <t>Customer 57</t>
  </si>
  <si>
    <t>user57@mail.com</t>
  </si>
  <si>
    <t>WH-755</t>
  </si>
  <si>
    <t>TRK33796</t>
  </si>
  <si>
    <t>O0058</t>
  </si>
  <si>
    <t>C058</t>
  </si>
  <si>
    <t>Customer 58</t>
  </si>
  <si>
    <t>user58@mail.com</t>
  </si>
  <si>
    <t>WH-895</t>
  </si>
  <si>
    <t>TRK79048</t>
  </si>
  <si>
    <t>O0059</t>
  </si>
  <si>
    <t>C059</t>
  </si>
  <si>
    <t>Customer 59</t>
  </si>
  <si>
    <t>user59mail.com</t>
  </si>
  <si>
    <t>0794040435</t>
  </si>
  <si>
    <t>2026-03-12</t>
  </si>
  <si>
    <t>WH-390</t>
  </si>
  <si>
    <t>TRK21227</t>
  </si>
  <si>
    <t>O0060</t>
  </si>
  <si>
    <t>C060</t>
  </si>
  <si>
    <t>Customer 60</t>
  </si>
  <si>
    <t xml:space="preserve"> user60@mail.com </t>
  </si>
  <si>
    <t>WH-468</t>
  </si>
  <si>
    <t>TRK28609</t>
  </si>
  <si>
    <t>O0061</t>
  </si>
  <si>
    <t>C061</t>
  </si>
  <si>
    <t>Customer 61</t>
  </si>
  <si>
    <t xml:space="preserve"> user61@mail.com </t>
  </si>
  <si>
    <t>0797118095</t>
  </si>
  <si>
    <t>2026-05-17</t>
  </si>
  <si>
    <t>WH-851</t>
  </si>
  <si>
    <t>TRK84023</t>
  </si>
  <si>
    <t>O0062</t>
  </si>
  <si>
    <t>C062</t>
  </si>
  <si>
    <t>Customer 62</t>
  </si>
  <si>
    <t>WH-486</t>
  </si>
  <si>
    <t>TRK79803</t>
  </si>
  <si>
    <t>O0063</t>
  </si>
  <si>
    <t>C063</t>
  </si>
  <si>
    <t>Customer 63</t>
  </si>
  <si>
    <t>user63mail.com</t>
  </si>
  <si>
    <t>2026-01-06</t>
  </si>
  <si>
    <t>WH-271</t>
  </si>
  <si>
    <t>TRK18199</t>
  </si>
  <si>
    <t>O0064</t>
  </si>
  <si>
    <t>C064</t>
  </si>
  <si>
    <t>Customer 64</t>
  </si>
  <si>
    <t xml:space="preserve"> user64@mail.com </t>
  </si>
  <si>
    <t>2026-03-10</t>
  </si>
  <si>
    <t>E019</t>
  </si>
  <si>
    <t>WH-294</t>
  </si>
  <si>
    <t>TRK43370</t>
  </si>
  <si>
    <t>O0065</t>
  </si>
  <si>
    <t>C065</t>
  </si>
  <si>
    <t>Customer 65</t>
  </si>
  <si>
    <t>0794124349</t>
  </si>
  <si>
    <t>2026-02-11</t>
  </si>
  <si>
    <t>WH-669</t>
  </si>
  <si>
    <t>TRK23208</t>
  </si>
  <si>
    <t>O0066</t>
  </si>
  <si>
    <t>C066</t>
  </si>
  <si>
    <t>Customer 66</t>
  </si>
  <si>
    <t>WH-725</t>
  </si>
  <si>
    <t>TRK16271</t>
  </si>
  <si>
    <t>O0067</t>
  </si>
  <si>
    <t>C067</t>
  </si>
  <si>
    <t>Customer 67</t>
  </si>
  <si>
    <t>user67mail.com</t>
  </si>
  <si>
    <t>2026-05-31</t>
  </si>
  <si>
    <t>WH-389</t>
  </si>
  <si>
    <t>TRK99006</t>
  </si>
  <si>
    <t>O0068</t>
  </si>
  <si>
    <t>C068</t>
  </si>
  <si>
    <t>Customer 68</t>
  </si>
  <si>
    <t>user68mail.com</t>
  </si>
  <si>
    <t>0798513001</t>
  </si>
  <si>
    <t>2026-03-17</t>
  </si>
  <si>
    <t>E005</t>
  </si>
  <si>
    <t>TRK52801</t>
  </si>
  <si>
    <t>O0069</t>
  </si>
  <si>
    <t>C069</t>
  </si>
  <si>
    <t>Customer 69</t>
  </si>
  <si>
    <t>user69mail.com</t>
  </si>
  <si>
    <t>2026-04-16</t>
  </si>
  <si>
    <t>WH-279</t>
  </si>
  <si>
    <t>TRK46477</t>
  </si>
  <si>
    <t>O0070</t>
  </si>
  <si>
    <t>C070</t>
  </si>
  <si>
    <t>Customer 70</t>
  </si>
  <si>
    <t>user70@mail.com</t>
  </si>
  <si>
    <t>2026-02-04</t>
  </si>
  <si>
    <t>WH-849</t>
  </si>
  <si>
    <t>TRK31526</t>
  </si>
  <si>
    <t>O0071</t>
  </si>
  <si>
    <t>C071</t>
  </si>
  <si>
    <t>Customer 71</t>
  </si>
  <si>
    <t>user71@mail.com</t>
  </si>
  <si>
    <t>0795593920</t>
  </si>
  <si>
    <t>2026-06-03</t>
  </si>
  <si>
    <t>WH-854</t>
  </si>
  <si>
    <t>TRK54312</t>
  </si>
  <si>
    <t>O0072</t>
  </si>
  <si>
    <t>C072</t>
  </si>
  <si>
    <t>Customer 72</t>
  </si>
  <si>
    <t xml:space="preserve"> user72@mail.com </t>
  </si>
  <si>
    <t>0798922690</t>
  </si>
  <si>
    <t>2026-05-09</t>
  </si>
  <si>
    <t>2026-05-12</t>
  </si>
  <si>
    <t>WH-955</t>
  </si>
  <si>
    <t>TRK97553</t>
  </si>
  <si>
    <t>O0073</t>
  </si>
  <si>
    <t>C073</t>
  </si>
  <si>
    <t>Customer 73</t>
  </si>
  <si>
    <t>WH-408</t>
  </si>
  <si>
    <t>TRK44109</t>
  </si>
  <si>
    <t>O0074</t>
  </si>
  <si>
    <t>C074</t>
  </si>
  <si>
    <t>Customer 74</t>
  </si>
  <si>
    <t>user74mail.com</t>
  </si>
  <si>
    <t>2026-04-09</t>
  </si>
  <si>
    <t>WH-786</t>
  </si>
  <si>
    <t>TRK57077</t>
  </si>
  <si>
    <t>O0075</t>
  </si>
  <si>
    <t>C075</t>
  </si>
  <si>
    <t>Customer 75</t>
  </si>
  <si>
    <t xml:space="preserve"> user75@mail.com </t>
  </si>
  <si>
    <t>0798742219</t>
  </si>
  <si>
    <t>WH-312</t>
  </si>
  <si>
    <t>TRK80930</t>
  </si>
  <si>
    <t>O0076</t>
  </si>
  <si>
    <t>C076</t>
  </si>
  <si>
    <t>Customer 76</t>
  </si>
  <si>
    <t>user76@mail.com</t>
  </si>
  <si>
    <t>2026-04-26</t>
  </si>
  <si>
    <t>2026-04-28</t>
  </si>
  <si>
    <t>WH-703</t>
  </si>
  <si>
    <t>TRK60730</t>
  </si>
  <si>
    <t>O0077</t>
  </si>
  <si>
    <t>C077</t>
  </si>
  <si>
    <t>Customer 77</t>
  </si>
  <si>
    <t xml:space="preserve"> user77@mail.com </t>
  </si>
  <si>
    <t>0793640988</t>
  </si>
  <si>
    <t>2026-05-24</t>
  </si>
  <si>
    <t>2026-05-25</t>
  </si>
  <si>
    <t>WH-269</t>
  </si>
  <si>
    <t>TRK15092</t>
  </si>
  <si>
    <t>O0078</t>
  </si>
  <si>
    <t>C078</t>
  </si>
  <si>
    <t>Customer 78</t>
  </si>
  <si>
    <t>user78mail.com</t>
  </si>
  <si>
    <t>0797858931</t>
  </si>
  <si>
    <t>WH-997</t>
  </si>
  <si>
    <t>TRK36206</t>
  </si>
  <si>
    <t>O0079</t>
  </si>
  <si>
    <t>C079</t>
  </si>
  <si>
    <t>Customer 79</t>
  </si>
  <si>
    <t>WH-104</t>
  </si>
  <si>
    <t>TRK83788</t>
  </si>
  <si>
    <t>O0080</t>
  </si>
  <si>
    <t>C080</t>
  </si>
  <si>
    <t>Customer 80</t>
  </si>
  <si>
    <t>user80@mail.com</t>
  </si>
  <si>
    <t>WH-257</t>
  </si>
  <si>
    <t>TRK65654</t>
  </si>
  <si>
    <t>O0081</t>
  </si>
  <si>
    <t>C081</t>
  </si>
  <si>
    <t>Customer 81</t>
  </si>
  <si>
    <t>user81@mail.com</t>
  </si>
  <si>
    <t>2026-05-23</t>
  </si>
  <si>
    <t>WH-316</t>
  </si>
  <si>
    <t>TRK89346</t>
  </si>
  <si>
    <t>O0082</t>
  </si>
  <si>
    <t>C082</t>
  </si>
  <si>
    <t>Customer 82</t>
  </si>
  <si>
    <t xml:space="preserve"> user82@mail.com </t>
  </si>
  <si>
    <t>WH-314</t>
  </si>
  <si>
    <t>TRK99237</t>
  </si>
  <si>
    <t>O0083</t>
  </si>
  <si>
    <t>C083</t>
  </si>
  <si>
    <t>Customer 83</t>
  </si>
  <si>
    <t xml:space="preserve"> user83@mail.com </t>
  </si>
  <si>
    <t>WH-762</t>
  </si>
  <si>
    <t>TRK38552</t>
  </si>
  <si>
    <t>O0084</t>
  </si>
  <si>
    <t>C084</t>
  </si>
  <si>
    <t>Customer 84</t>
  </si>
  <si>
    <t xml:space="preserve"> user84@mail.com </t>
  </si>
  <si>
    <t>0798104356</t>
  </si>
  <si>
    <t>2026-04-23</t>
  </si>
  <si>
    <t>WH-357</t>
  </si>
  <si>
    <t>TRK96208</t>
  </si>
  <si>
    <t>O0085</t>
  </si>
  <si>
    <t>C085</t>
  </si>
  <si>
    <t>Customer 85</t>
  </si>
  <si>
    <t xml:space="preserve"> user85@mail.com </t>
  </si>
  <si>
    <t>0791772393</t>
  </si>
  <si>
    <t>WH-295</t>
  </si>
  <si>
    <t>TRK94516</t>
  </si>
  <si>
    <t>O0086</t>
  </si>
  <si>
    <t>C086</t>
  </si>
  <si>
    <t>Customer 86</t>
  </si>
  <si>
    <t xml:space="preserve"> user86@mail.com </t>
  </si>
  <si>
    <t>2026-04-03</t>
  </si>
  <si>
    <t>2026-04-08</t>
  </si>
  <si>
    <t>WH-908</t>
  </si>
  <si>
    <t>TRK12675</t>
  </si>
  <si>
    <t>O0087</t>
  </si>
  <si>
    <t>C087</t>
  </si>
  <si>
    <t>Customer 87</t>
  </si>
  <si>
    <t xml:space="preserve"> user87@mail.com </t>
  </si>
  <si>
    <t>2026-02-17</t>
  </si>
  <si>
    <t>WH-846</t>
  </si>
  <si>
    <t>TRK80820</t>
  </si>
  <si>
    <t>O0088</t>
  </si>
  <si>
    <t>C088</t>
  </si>
  <si>
    <t>Customer 88</t>
  </si>
  <si>
    <t xml:space="preserve"> user88@mail.com </t>
  </si>
  <si>
    <t>2026-01-04</t>
  </si>
  <si>
    <t>2026-01-09</t>
  </si>
  <si>
    <t>WH-479</t>
  </si>
  <si>
    <t>TRK68404</t>
  </si>
  <si>
    <t>O0089</t>
  </si>
  <si>
    <t>C089</t>
  </si>
  <si>
    <t>Customer 89</t>
  </si>
  <si>
    <t>user89@mail.com</t>
  </si>
  <si>
    <t>2026-02-21</t>
  </si>
  <si>
    <t>WH-732</t>
  </si>
  <si>
    <t>TRK13445</t>
  </si>
  <si>
    <t>O0090</t>
  </si>
  <si>
    <t>C090</t>
  </si>
  <si>
    <t>Customer 90</t>
  </si>
  <si>
    <t>user90@mail.com</t>
  </si>
  <si>
    <t>0799882594</t>
  </si>
  <si>
    <t>WH-458</t>
  </si>
  <si>
    <t>TRK95790</t>
  </si>
  <si>
    <t>O0091</t>
  </si>
  <si>
    <t>C091</t>
  </si>
  <si>
    <t>Customer 91</t>
  </si>
  <si>
    <t>user91@mail.com</t>
  </si>
  <si>
    <t>2026-06-06</t>
  </si>
  <si>
    <t>WH-446</t>
  </si>
  <si>
    <t>TRK13968</t>
  </si>
  <si>
    <t>O0092</t>
  </si>
  <si>
    <t>C092</t>
  </si>
  <si>
    <t>Customer 92</t>
  </si>
  <si>
    <t>user92@mail.com</t>
  </si>
  <si>
    <t>0791340722</t>
  </si>
  <si>
    <t>2026-03-25</t>
  </si>
  <si>
    <t>WH-654</t>
  </si>
  <si>
    <t>TRK67442</t>
  </si>
  <si>
    <t>O0093</t>
  </si>
  <si>
    <t>C093</t>
  </si>
  <si>
    <t>Customer 93</t>
  </si>
  <si>
    <t xml:space="preserve"> user93@mail.com </t>
  </si>
  <si>
    <t>0791207501</t>
  </si>
  <si>
    <t>2026-05-14</t>
  </si>
  <si>
    <t>WH-900</t>
  </si>
  <si>
    <t>TRK62058</t>
  </si>
  <si>
    <t>O0094</t>
  </si>
  <si>
    <t>C094</t>
  </si>
  <si>
    <t>Customer 94</t>
  </si>
  <si>
    <t xml:space="preserve"> user94@mail.com </t>
  </si>
  <si>
    <t>0798464563</t>
  </si>
  <si>
    <t>2026-04-05</t>
  </si>
  <si>
    <t>WH-902</t>
  </si>
  <si>
    <t>TRK46827</t>
  </si>
  <si>
    <t>O0095</t>
  </si>
  <si>
    <t>C095</t>
  </si>
  <si>
    <t>Customer 95</t>
  </si>
  <si>
    <t xml:space="preserve"> user95@mail.com </t>
  </si>
  <si>
    <t>WH-561</t>
  </si>
  <si>
    <t>TRK99516</t>
  </si>
  <si>
    <t>O0096</t>
  </si>
  <si>
    <t>C096</t>
  </si>
  <si>
    <t>Customer 96</t>
  </si>
  <si>
    <t>user96@mail.com</t>
  </si>
  <si>
    <t>2026-03-08</t>
  </si>
  <si>
    <t>WH-787</t>
  </si>
  <si>
    <t>TRK48412</t>
  </si>
  <si>
    <t>O0097</t>
  </si>
  <si>
    <t>C097</t>
  </si>
  <si>
    <t>Customer 97</t>
  </si>
  <si>
    <t>user97mail.com</t>
  </si>
  <si>
    <t>WH-298</t>
  </si>
  <si>
    <t>TRK94151</t>
  </si>
  <si>
    <t>O0098</t>
  </si>
  <si>
    <t>C098</t>
  </si>
  <si>
    <t>Customer 98</t>
  </si>
  <si>
    <t>user98@mail.com</t>
  </si>
  <si>
    <t>0799072800</t>
  </si>
  <si>
    <t>WH-210</t>
  </si>
  <si>
    <t>TRK80203</t>
  </si>
  <si>
    <t>O0099</t>
  </si>
  <si>
    <t>C099</t>
  </si>
  <si>
    <t>Customer 99</t>
  </si>
  <si>
    <t>user99mail.com</t>
  </si>
  <si>
    <t>2026-04-10</t>
  </si>
  <si>
    <t>WH-978</t>
  </si>
  <si>
    <t>TRK67006</t>
  </si>
  <si>
    <t>O0100</t>
  </si>
  <si>
    <t>C100</t>
  </si>
  <si>
    <t>Customer 100</t>
  </si>
  <si>
    <t>user100@mail.com</t>
  </si>
  <si>
    <t>2026-04-14</t>
  </si>
  <si>
    <t>WH-448</t>
  </si>
  <si>
    <t>TRK34791</t>
  </si>
  <si>
    <t>O0101</t>
  </si>
  <si>
    <t>C101</t>
  </si>
  <si>
    <t>Customer 101</t>
  </si>
  <si>
    <t xml:space="preserve"> user101@mail.com </t>
  </si>
  <si>
    <t>WH-116</t>
  </si>
  <si>
    <t>TRK96924</t>
  </si>
  <si>
    <t>Extract Tracking Number Ending</t>
  </si>
  <si>
    <t>Count Characters in Customer Feedback</t>
  </si>
  <si>
    <t>Excellent    service</t>
  </si>
  <si>
    <t xml:space="preserve"> Late   delivery </t>
  </si>
  <si>
    <t>Excellent     service</t>
  </si>
  <si>
    <t xml:space="preserve"> Late          delivery </t>
  </si>
  <si>
    <t>Excellent      service</t>
  </si>
  <si>
    <t>Clean Customer Feedback</t>
  </si>
  <si>
    <t>Create Order Label</t>
  </si>
  <si>
    <t>Combine: Order_ID Product_Name Country Format: Order_ID - Product_Name - Country</t>
  </si>
  <si>
    <t>Find Symbol Position</t>
  </si>
  <si>
    <t>Find the position of "@" in Customer_Email</t>
  </si>
  <si>
    <t>Convert Quantity to Number</t>
  </si>
  <si>
    <t>Convert text-based quantities into numeric values</t>
  </si>
  <si>
    <t>Delivery Status Classification</t>
  </si>
  <si>
    <t>If delivery took more than 5 days → "Late" Otherwise → "On Time"</t>
  </si>
  <si>
    <t>Sales Tier Classification</t>
  </si>
  <si>
    <t>Classify Total_Sales: Sales Amount	Category Above 5000	Platinum 3000–5000	Gold 1000–2999	Silver Below 1000	Bronze</t>
  </si>
  <si>
    <t>Priority Description</t>
  </si>
  <si>
    <t>Convert numeric Priority_Level into labels: 1-Critical  2-High  3-Medium  4-Low</t>
  </si>
  <si>
    <t>Count Delivered Orders</t>
  </si>
  <si>
    <t>GCC Orders</t>
  </si>
  <si>
    <t>Count orders where: Region = GCC Payment Method = Credit Card</t>
  </si>
  <si>
    <t>Count Numeric Ratings</t>
  </si>
  <si>
    <t>Count Non-Empty Notes</t>
  </si>
  <si>
    <t>Count all non-empty cells in Notes</t>
  </si>
  <si>
    <t>Count Blank Feedback Entries</t>
  </si>
  <si>
    <t>Count empty Customer_Feedback cells</t>
  </si>
  <si>
    <t>Validate Quantity Data</t>
  </si>
  <si>
    <t>Check whether Quantity contains numbers</t>
  </si>
  <si>
    <t>Feedback Data Type</t>
  </si>
  <si>
    <t>Check whether Customer_Feedback contains text</t>
  </si>
  <si>
    <t>Detect Blank Ratings</t>
  </si>
  <si>
    <t>Identify missing ratings.</t>
  </si>
  <si>
    <t xml:space="preserve"> user31mail.com </t>
  </si>
  <si>
    <t>user25mail.com</t>
  </si>
  <si>
    <t>user65mail.com</t>
  </si>
  <si>
    <t xml:space="preserve"> user79mail.com </t>
  </si>
  <si>
    <t xml:space="preserve"> user6 2@mail.com </t>
  </si>
  <si>
    <t xml:space="preserve"> user66 @mail.com </t>
  </si>
  <si>
    <t xml:space="preserve"> user73 @mail.com </t>
  </si>
  <si>
    <t>Customer Email Validation</t>
  </si>
  <si>
    <t>Rules: If the email cell is blank → "Missing Email" If the email does not contain "@" → "Invalid Email" If the email contains extra spaces → "Needs Cleaning" Otherwise → "Valid"</t>
  </si>
  <si>
    <t>Delivery Performance Classification</t>
  </si>
  <si>
    <t>Rules: If Order_Status = Returned → "Returned Order" If delivery took more than 7 days AND sales above 3000 → "Critical Delay" If delivery took more than 5 days → "Late" Otherwise → "On Time"</t>
  </si>
  <si>
    <t>Sales Risk Detection</t>
  </si>
  <si>
    <t>Rules:
If Customer_Rating is blank → "Unknown"
If rating ≤ 2 AND order returned → "High Risk"
If rating = 3 → "Medium Risk"
If rating ≥ 4 → "Low Risk"</t>
  </si>
  <si>
    <t>Product Category Lookup &amp; Classification</t>
  </si>
  <si>
    <t>Use XLOOKUP() to retrieve product category from Products_Lookup
Then classify:
Electronics + Sales &gt; 4000 → "High Tech Revenue"
Furniture + Sales &gt; 2000 → "Premium Furniture"
Otherwise → "Standard Product"</t>
  </si>
  <si>
    <t>Customer Satisfaction vs Sales Performance Analyze the relationship between below, using correlation analysis and explain the result. Clean data before analysis if necessary.
Customer_Rating
Total_Sales</t>
  </si>
  <si>
    <t>Predicting Total Sales Analyze whether:
Quantity
Discount_Percentage
Shipping_Fee
Customer_Rating
can predict:
Total_Sales</t>
  </si>
  <si>
    <t>Clean data and make sure all values are numeric</t>
  </si>
  <si>
    <r>
      <t xml:space="preserve">Correlation analysis was conducted to examine the relationship between customer satisfaction (Customer_Rating) and sales performance (Total_Sales). After cleaning the data by removing missing values, the correlation coefficient was found to be </t>
    </r>
    <r>
      <rPr>
        <b/>
        <sz val="11"/>
        <color rgb="FFFF0000"/>
        <rFont val="Calibri (Body)"/>
      </rPr>
      <t>r = -0.155</t>
    </r>
    <r>
      <rPr>
        <b/>
        <sz val="11"/>
        <color theme="1"/>
        <rFont val="Calibri"/>
        <family val="2"/>
        <scheme val="minor"/>
      </rPr>
      <t>, indicating a very weak negative relationship. This suggests that customer ratings have little to no meaningful influence on total sales in the dataset.</t>
    </r>
  </si>
  <si>
    <r>
      <t xml:space="preserve">Extract the last 4 characters from </t>
    </r>
    <r>
      <rPr>
        <b/>
        <sz val="10"/>
        <color rgb="FFFF0000"/>
        <rFont val="Arial Unicode MS"/>
        <family val="2"/>
      </rPr>
      <t>Tracking_Number</t>
    </r>
  </si>
  <si>
    <r>
      <t xml:space="preserve">Calculate the total number of characters in </t>
    </r>
    <r>
      <rPr>
        <b/>
        <sz val="10"/>
        <color rgb="FFFF0000"/>
        <rFont val="Arial Unicode MS"/>
        <family val="2"/>
      </rPr>
      <t>Customer_Feedback</t>
    </r>
  </si>
  <si>
    <r>
      <t xml:space="preserve">Remove unnecessary spaces from </t>
    </r>
    <r>
      <rPr>
        <b/>
        <sz val="10"/>
        <color rgb="FFFF0000"/>
        <rFont val="Arial Unicode MS"/>
        <family val="2"/>
      </rPr>
      <t>Customer_Feedback</t>
    </r>
  </si>
  <si>
    <r>
      <t xml:space="preserve">Count all </t>
    </r>
    <r>
      <rPr>
        <b/>
        <sz val="10"/>
        <color rgb="FFFF0000"/>
        <rFont val="Arial Unicode MS"/>
        <family val="2"/>
      </rPr>
      <t>"Delivered"</t>
    </r>
    <r>
      <rPr>
        <b/>
        <sz val="11"/>
        <color rgb="FFFF0000"/>
        <rFont val="Calibri"/>
        <family val="2"/>
        <scheme val="minor"/>
      </rPr>
      <t xml:space="preserve"> orders.</t>
    </r>
  </si>
  <si>
    <r>
      <t xml:space="preserve">Count all numeric values in </t>
    </r>
    <r>
      <rPr>
        <b/>
        <sz val="10"/>
        <color rgb="FFFF0000"/>
        <rFont val="Arial Unicode MS"/>
        <family val="2"/>
      </rPr>
      <t>Customer_Rating</t>
    </r>
  </si>
  <si>
    <t>Q-Cleaned numeric Columns</t>
  </si>
  <si>
    <t>D-clean numeric columns</t>
  </si>
  <si>
    <t>S-Clean</t>
  </si>
  <si>
    <t>C-clean</t>
  </si>
  <si>
    <t>T-clean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</si>
  <si>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</si>
  <si>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</si>
  <si>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</si>
  <si>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</si>
  <si>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</si>
  <si>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</si>
  <si>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</si>
  <si>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</si>
  <si>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</si>
  <si>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</si>
  <si>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</si>
  <si>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</si>
  <si>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</si>
  <si>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</si>
  <si>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</si>
  <si>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</si>
  <si>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</si>
  <si>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</si>
  <si>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</si>
  <si>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</si>
  <si>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</si>
  <si>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</si>
  <si>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</si>
  <si>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</si>
  <si>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r>
      <t>Multiple regression analysis was conducted to determine whether Quantity, Discount_Percentage, Shipping_Fee, and Customer_Rating predict Total_Sales. After cleaning the data and removing missing values, 51 observations remained. The model was statistically significant (</t>
    </r>
    <r>
      <rPr>
        <b/>
        <sz val="11"/>
        <color rgb="FFFF0000"/>
        <rFont val="Calibri (Body)"/>
      </rPr>
      <t>p = 0.009</t>
    </r>
    <r>
      <rPr>
        <b/>
        <sz val="11"/>
        <color theme="1"/>
        <rFont val="Calibri"/>
        <family val="2"/>
        <scheme val="minor"/>
      </rPr>
      <t xml:space="preserve">) and explained approximately </t>
    </r>
    <r>
      <rPr>
        <b/>
        <sz val="11"/>
        <color rgb="FFFF0000"/>
        <rFont val="Calibri (Body)"/>
      </rPr>
      <t>25%</t>
    </r>
    <r>
      <rPr>
        <b/>
        <sz val="11"/>
        <color theme="1"/>
        <rFont val="Calibri"/>
        <family val="2"/>
        <scheme val="minor"/>
      </rPr>
      <t xml:space="preserve"> of the variance in Total_Sales (</t>
    </r>
    <r>
      <rPr>
        <b/>
        <sz val="11"/>
        <color rgb="FFFF0000"/>
        <rFont val="Calibri (Body)"/>
      </rPr>
      <t>R² = 0.250</t>
    </r>
    <r>
      <rPr>
        <b/>
        <sz val="11"/>
        <color theme="1"/>
        <rFont val="Calibri"/>
        <family val="2"/>
        <scheme val="minor"/>
      </rPr>
      <t>). Quantity was the only statistically significant predictor (</t>
    </r>
    <r>
      <rPr>
        <b/>
        <sz val="11"/>
        <color rgb="FFFF0000"/>
        <rFont val="Calibri (Body)"/>
      </rPr>
      <t>p = 0.003</t>
    </r>
    <r>
      <rPr>
        <b/>
        <sz val="11"/>
        <color theme="1"/>
        <rFont val="Calibri"/>
        <family val="2"/>
        <scheme val="minor"/>
      </rPr>
      <t>), showing a positive relationship with Total_Sales. Discount_Percentage, Shipping_Fee, and Customer_Rating were not statistically significant predictors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</si>
</sst>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 (Body)"/>
    </font>
    <font>
      <b/>
      <i/>
      <sz val="11"/>
      <color theme="1"/>
      <name val="Calibri"/>
      <family val="2"/>
      <scheme val="minor"/>
    </font>
    <font>
      <b/>
      <sz val="10"/>
      <color rgb="FFFF0000"/>
      <name val="Arial Unicode MS"/>
      <family val="2"/>
    </font>
    <font>
      <b/>
      <sz val="13"/>
      <color theme="1"/>
      <name val="Helvetica Neue"/>
      <family val="2"/>
    </font>
    <font>
      <b/>
      <sz val="11"/>
      <color rgb="FFFF0000"/>
      <name val="Calibri"/>
      <family val="2"/>
    </font>
    <font>
      <b/>
      <sz val="11"/>
      <color theme="3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5" fillId="0" borderId="4" xfId="0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3" fillId="0" borderId="0" xfId="0" applyFont="1"/>
    <xf numFmtId="0" fontId="3" fillId="0" borderId="1" xfId="0" applyFont="1" applyBorder="1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externalLink" Target="externalLinks/externalLink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oducts_Lookup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ducts_Lookup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B102"/>
  <sheetViews>
    <sheetView tabSelected="1" zoomScale="50" workbookViewId="0">
      <selection activeCell="A2" sqref="A2"/>
    </sheetView>
  </sheetViews>
  <sheetFormatPr baseColWidth="10" defaultColWidth="8.83203125" defaultRowHeight="15" x14ac:dyDescent="0.2"/>
  <cols>
    <col min="1" max="1" width="8.1640625" bestFit="1" customWidth="1"/>
    <col min="2" max="2" width="11.1640625" bestFit="1" customWidth="1"/>
    <col min="3" max="3" width="14" bestFit="1" customWidth="1"/>
    <col min="4" max="4" width="17" bestFit="1" customWidth="1"/>
    <col min="5" max="5" width="13.33203125" bestFit="1" customWidth="1"/>
    <col min="6" max="6" width="10.5" bestFit="1" customWidth="1"/>
    <col min="7" max="7" width="7" bestFit="1" customWidth="1"/>
    <col min="8" max="8" width="11.1640625" bestFit="1" customWidth="1"/>
    <col min="9" max="9" width="9.83203125" bestFit="1" customWidth="1"/>
    <col min="10" max="10" width="19.1640625" customWidth="1"/>
    <col min="11" max="11" width="15" bestFit="1" customWidth="1"/>
    <col min="12" max="12" width="7.83203125" bestFit="1" customWidth="1"/>
    <col min="13" max="13" width="10.1640625" bestFit="1" customWidth="1"/>
    <col min="14" max="14" width="12.1640625" bestFit="1" customWidth="1"/>
    <col min="15" max="15" width="15.1640625" bestFit="1" customWidth="1"/>
    <col min="16" max="16" width="12.1640625" bestFit="1" customWidth="1"/>
    <col min="17" max="17" width="8" bestFit="1" customWidth="1"/>
    <col min="18" max="18" width="9.33203125" bestFit="1" customWidth="1"/>
    <col min="19" max="19" width="17.83203125" bestFit="1" customWidth="1"/>
    <col min="20" max="20" width="11.5" bestFit="1" customWidth="1"/>
    <col min="21" max="21" width="9.6640625" bestFit="1" customWidth="1"/>
    <col min="22" max="22" width="14.33203125" bestFit="1" customWidth="1"/>
    <col min="23" max="23" width="11.1640625" bestFit="1" customWidth="1"/>
    <col min="24" max="24" width="12" bestFit="1" customWidth="1"/>
    <col min="25" max="25" width="11.33203125" bestFit="1" customWidth="1"/>
    <col min="26" max="26" width="14.83203125" bestFit="1" customWidth="1"/>
    <col min="27" max="27" width="14.6640625" bestFit="1" customWidth="1"/>
    <col min="28" max="28" width="17" bestFit="1" customWidth="1"/>
    <col min="29" max="29" width="12.33203125" bestFit="1" customWidth="1"/>
    <col min="30" max="30" width="12" bestFit="1" customWidth="1"/>
    <col min="31" max="31" width="15.83203125" bestFit="1" customWidth="1"/>
    <col min="32" max="32" width="10.5" bestFit="1" customWidth="1"/>
    <col min="33" max="33" width="11.6640625" bestFit="1" customWidth="1"/>
    <col min="34" max="34" width="29.5" style="11" customWidth="1"/>
    <col min="35" max="35" width="36.1640625" style="11" customWidth="1"/>
    <col min="36" max="36" width="24.5" style="11" customWidth="1"/>
    <col min="37" max="37" width="30.83203125" style="11" bestFit="1" customWidth="1"/>
    <col min="38" max="38" width="30.5" style="11" customWidth="1"/>
    <col min="39" max="39" width="28" style="11" customWidth="1"/>
    <col min="40" max="40" width="26.6640625" style="11" bestFit="1" customWidth="1"/>
    <col min="41" max="41" width="22.5" style="11" customWidth="1"/>
    <col min="42" max="42" width="19.6640625" style="11" customWidth="1"/>
    <col min="43" max="43" width="23" style="11" customWidth="1"/>
    <col min="44" max="44" width="13.5" style="11" customWidth="1"/>
    <col min="45" max="45" width="22.33203125" style="11" customWidth="1"/>
    <col min="46" max="46" width="24" style="11" customWidth="1"/>
    <col min="47" max="47" width="28.1640625" style="11" customWidth="1"/>
    <col min="48" max="48" width="22.5" style="11" customWidth="1"/>
    <col min="49" max="49" width="21.1640625" style="11" customWidth="1"/>
    <col min="50" max="50" width="20.83203125" style="11" customWidth="1"/>
    <col min="51" max="51" width="26.5" style="11" customWidth="1"/>
    <col min="52" max="52" width="34.5" style="11" customWidth="1"/>
    <col min="53" max="53" width="25.6640625" style="11" customWidth="1"/>
    <col min="54" max="54" width="38" style="11" customWidth="1"/>
  </cols>
  <sheetData>
    <row r="1" spans="1:54" s="1" customFormat="1" x14ac:dyDescent="0.2">
      <c r="A1" s="18" t="s">
        <v>0</v>
      </c>
      <c r="B1" s="18" t="s">
        <v>1</v>
      </c>
      <c r="C1" s="18" t="s">
        <v>2</v>
      </c>
      <c r="D1" s="18" t="s">
        <v>3</v>
      </c>
      <c r="E1" s="18" t="s">
        <v>4</v>
      </c>
      <c r="F1" s="18" t="s">
        <v>5</v>
      </c>
      <c r="G1" s="18" t="s">
        <v>6</v>
      </c>
      <c r="H1" s="18" t="s">
        <v>7</v>
      </c>
      <c r="I1" s="18" t="s">
        <v>8</v>
      </c>
      <c r="J1" s="18" t="s">
        <v>9</v>
      </c>
      <c r="K1" s="18" t="s">
        <v>10</v>
      </c>
      <c r="L1" s="18" t="s">
        <v>11</v>
      </c>
      <c r="M1" s="18" t="s">
        <v>12</v>
      </c>
      <c r="N1" s="18" t="s">
        <v>13</v>
      </c>
      <c r="O1" s="18" t="s">
        <v>14</v>
      </c>
      <c r="P1" s="18" t="s">
        <v>15</v>
      </c>
      <c r="Q1" s="18" t="s">
        <v>16</v>
      </c>
      <c r="R1" s="18" t="s">
        <v>17</v>
      </c>
      <c r="S1" s="18" t="s">
        <v>18</v>
      </c>
      <c r="T1" s="18" t="s">
        <v>19</v>
      </c>
      <c r="U1" s="18" t="s">
        <v>20</v>
      </c>
      <c r="V1" s="18" t="s">
        <v>21</v>
      </c>
      <c r="W1" s="18" t="s">
        <v>22</v>
      </c>
      <c r="X1" s="18" t="s">
        <v>23</v>
      </c>
      <c r="Y1" s="18" t="s">
        <v>24</v>
      </c>
      <c r="Z1" s="18" t="s">
        <v>25</v>
      </c>
      <c r="AA1" s="18" t="s">
        <v>26</v>
      </c>
      <c r="AB1" s="18" t="s">
        <v>27</v>
      </c>
      <c r="AC1" s="18" t="s">
        <v>28</v>
      </c>
      <c r="AD1" s="18" t="s">
        <v>29</v>
      </c>
      <c r="AE1" s="18" t="s">
        <v>30</v>
      </c>
      <c r="AF1" s="18" t="s">
        <v>31</v>
      </c>
      <c r="AG1" s="18" t="s">
        <v>32</v>
      </c>
      <c r="AH1" s="9" t="s">
        <v>832</v>
      </c>
      <c r="AI1" s="9" t="s">
        <v>833</v>
      </c>
      <c r="AJ1" s="9" t="s">
        <v>839</v>
      </c>
      <c r="AK1" s="9" t="s">
        <v>840</v>
      </c>
      <c r="AL1" s="9" t="s">
        <v>842</v>
      </c>
      <c r="AM1" s="9" t="s">
        <v>844</v>
      </c>
      <c r="AN1" s="9" t="s">
        <v>846</v>
      </c>
      <c r="AO1" s="9" t="s">
        <v>848</v>
      </c>
      <c r="AP1" s="9" t="s">
        <v>850</v>
      </c>
      <c r="AQ1" s="9" t="s">
        <v>852</v>
      </c>
      <c r="AR1" s="9" t="s">
        <v>853</v>
      </c>
      <c r="AS1" s="9" t="s">
        <v>855</v>
      </c>
      <c r="AT1" s="9" t="s">
        <v>856</v>
      </c>
      <c r="AU1" s="9" t="s">
        <v>858</v>
      </c>
      <c r="AV1" s="9" t="s">
        <v>860</v>
      </c>
      <c r="AW1" s="9" t="s">
        <v>862</v>
      </c>
      <c r="AX1" s="9" t="s">
        <v>864</v>
      </c>
      <c r="AY1" s="9" t="s">
        <v>873</v>
      </c>
      <c r="AZ1" s="9" t="s">
        <v>875</v>
      </c>
      <c r="BA1" s="9" t="s">
        <v>877</v>
      </c>
      <c r="BB1" s="9" t="s">
        <v>879</v>
      </c>
    </row>
    <row r="2" spans="1:54" ht="128" x14ac:dyDescent="0.2">
      <c r="A2" s="1" t="s">
        <v>33</v>
      </c>
      <c r="B2" s="1" t="s">
        <v>34</v>
      </c>
      <c r="C2" s="1" t="s">
        <v>35</v>
      </c>
      <c r="D2" s="1" t="s">
        <v>36</v>
      </c>
      <c r="E2" s="1" t="s">
        <v>37</v>
      </c>
      <c r="F2" s="1" t="s">
        <v>38</v>
      </c>
      <c r="G2" s="1" t="s">
        <v>39</v>
      </c>
      <c r="H2" s="1" t="s">
        <v>40</v>
      </c>
      <c r="I2" s="1" t="s">
        <v>41</v>
      </c>
      <c r="J2" s="1" t="s">
        <v>42</v>
      </c>
      <c r="K2" s="1" t="s">
        <v>43</v>
      </c>
      <c r="L2" s="1" t="s">
        <v>44</v>
      </c>
      <c r="M2" s="1" t="s">
        <v>45</v>
      </c>
      <c r="N2" s="1" t="s">
        <v>46</v>
      </c>
      <c r="O2" s="1" t="s">
        <v>47</v>
      </c>
      <c r="P2" s="1" t="s">
        <v>48</v>
      </c>
      <c r="Q2" s="1">
        <v>5</v>
      </c>
      <c r="R2" s="1">
        <v>150</v>
      </c>
      <c r="S2" s="1">
        <v>0</v>
      </c>
      <c r="T2" s="1">
        <v>18.72</v>
      </c>
      <c r="U2" s="1">
        <v>768.72</v>
      </c>
      <c r="V2" s="1">
        <v>1</v>
      </c>
      <c r="W2" s="1" t="s">
        <v>49</v>
      </c>
      <c r="X2" s="1" t="s">
        <v>50</v>
      </c>
      <c r="Y2" s="1" t="s">
        <v>51</v>
      </c>
      <c r="Z2" s="1" t="s">
        <v>52</v>
      </c>
      <c r="AA2" s="1" t="s">
        <v>53</v>
      </c>
      <c r="AB2" s="1" t="s">
        <v>54</v>
      </c>
      <c r="AC2" s="1" t="s">
        <v>55</v>
      </c>
      <c r="AD2" s="1">
        <v>4</v>
      </c>
      <c r="AE2" s="1" t="s">
        <v>56</v>
      </c>
      <c r="AF2" s="1"/>
      <c r="AG2" s="1" t="s">
        <v>57</v>
      </c>
      <c r="AH2" s="10" t="s">
        <v>885</v>
      </c>
      <c r="AI2" s="10" t="s">
        <v>886</v>
      </c>
      <c r="AJ2" s="10" t="s">
        <v>887</v>
      </c>
      <c r="AK2" s="10" t="s">
        <v>841</v>
      </c>
      <c r="AL2" s="10" t="s">
        <v>843</v>
      </c>
      <c r="AM2" s="10" t="s">
        <v>845</v>
      </c>
      <c r="AN2" s="10" t="s">
        <v>847</v>
      </c>
      <c r="AO2" s="10" t="s">
        <v>849</v>
      </c>
      <c r="AP2" s="10" t="s">
        <v>851</v>
      </c>
      <c r="AQ2" s="10" t="s">
        <v>888</v>
      </c>
      <c r="AR2" s="10" t="s">
        <v>854</v>
      </c>
      <c r="AS2" s="10" t="s">
        <v>889</v>
      </c>
      <c r="AT2" s="10" t="s">
        <v>857</v>
      </c>
      <c r="AU2" s="10" t="s">
        <v>859</v>
      </c>
      <c r="AV2" s="10" t="s">
        <v>861</v>
      </c>
      <c r="AW2" s="10" t="s">
        <v>863</v>
      </c>
      <c r="AX2" s="10" t="s">
        <v>865</v>
      </c>
      <c r="AY2" s="10" t="s">
        <v>874</v>
      </c>
      <c r="AZ2" s="10" t="s">
        <v>876</v>
      </c>
      <c r="BA2" s="10" t="s">
        <v>878</v>
      </c>
      <c r="BB2" s="10" t="s">
        <v>880</v>
      </c>
    </row>
    <row r="3" spans="1:54" ht="17" x14ac:dyDescent="0.2">
      <c r="A3" s="1" t="s">
        <v>58</v>
      </c>
      <c r="B3" s="1" t="s">
        <v>59</v>
      </c>
      <c r="C3" s="1" t="s">
        <v>60</v>
      </c>
      <c r="D3" s="1" t="s">
        <v>61</v>
      </c>
      <c r="E3" s="1" t="s">
        <v>37</v>
      </c>
      <c r="F3" s="1" t="s">
        <v>62</v>
      </c>
      <c r="G3" s="1" t="s">
        <v>63</v>
      </c>
      <c r="H3" s="1" t="s">
        <v>64</v>
      </c>
      <c r="I3" s="1" t="s">
        <v>65</v>
      </c>
      <c r="J3" s="1" t="s">
        <v>66</v>
      </c>
      <c r="K3" s="1" t="s">
        <v>67</v>
      </c>
      <c r="L3" s="1" t="s">
        <v>68</v>
      </c>
      <c r="M3" s="1" t="s">
        <v>69</v>
      </c>
      <c r="N3" s="1" t="s">
        <v>70</v>
      </c>
      <c r="O3" s="1" t="s">
        <v>71</v>
      </c>
      <c r="P3" s="1" t="s">
        <v>48</v>
      </c>
      <c r="Q3" s="1" t="s">
        <v>37</v>
      </c>
      <c r="R3" s="1">
        <v>220</v>
      </c>
      <c r="S3" s="1">
        <v>10</v>
      </c>
      <c r="T3" s="1">
        <v>3.49</v>
      </c>
      <c r="U3" s="1">
        <v>993.49</v>
      </c>
      <c r="V3" s="1">
        <v>4</v>
      </c>
      <c r="W3" s="1" t="s">
        <v>72</v>
      </c>
      <c r="X3" s="1" t="s">
        <v>73</v>
      </c>
      <c r="Y3" s="1" t="s">
        <v>74</v>
      </c>
      <c r="Z3" s="1" t="s">
        <v>75</v>
      </c>
      <c r="AA3" s="1" t="s">
        <v>76</v>
      </c>
      <c r="AB3" s="1" t="s">
        <v>54</v>
      </c>
      <c r="AC3" s="1" t="s">
        <v>55</v>
      </c>
      <c r="AD3" s="1">
        <v>4</v>
      </c>
      <c r="AE3" s="1" t="s">
        <v>77</v>
      </c>
      <c r="AF3" s="1" t="e">
        <v>#N/A</v>
      </c>
      <c r="AG3" s="1" t="s">
        <v>78</v>
      </c>
      <c r="AH3" s="11" t="str">
        <f>RIGHT(AA2,4)</f>
        <v>8747</v>
      </c>
      <c r="AI3" s="11">
        <f>LEN(AB2)</f>
        <v>4</v>
      </c>
      <c r="AJ3" s="11" t="str">
        <f>TRIM(AB2)</f>
        <v>Good</v>
      </c>
      <c r="AK3" s="11" t="str">
        <f>A2&amp;" - "&amp;J2&amp;" - "&amp;F2</f>
        <v>O0002 - Headphones - Jordan</v>
      </c>
      <c r="AL3" s="11">
        <f>SEARCH("@",D2)</f>
        <v>6</v>
      </c>
      <c r="AM3" s="11">
        <f>VALUE(Q2)</f>
        <v>5</v>
      </c>
      <c r="AN3" s="11" t="str">
        <f>IF(N2-M2&gt;5,"Late","On Time")</f>
        <v>Late</v>
      </c>
      <c r="AO3" s="11" t="str">
        <f>IF(U2&gt;5000,"Platinum",IF(U2&gt;=3000,"Gold",IF(U2&gt;=1000,"Silver","Bronze")))</f>
        <v>Bronze</v>
      </c>
      <c r="AP3" s="12" t="str">
        <f>CHOOSE(AD3,"Critical","High","Medium","Low")</f>
        <v>Low</v>
      </c>
      <c r="AQ3" s="11">
        <f>COUNTIF(W2:W101,"Delivered")</f>
        <v>28</v>
      </c>
      <c r="AR3" s="11">
        <f>COUNTIFS(H2:H101,"GCC",O2:O101,"Credit Card")</f>
        <v>8</v>
      </c>
      <c r="AS3" s="11">
        <f>COUNT(V2:V101)</f>
        <v>81</v>
      </c>
      <c r="AT3" s="11">
        <f>COUNTA(AG2:AG101)</f>
        <v>67</v>
      </c>
      <c r="AU3" s="11">
        <f>COUNTBLANK(AB2:AB101)</f>
        <v>24</v>
      </c>
      <c r="AV3" s="11" t="str">
        <f>IF(ISNUMBER(Q2),"Valid Number","Not Numeric")</f>
        <v>Valid Number</v>
      </c>
      <c r="AW3" s="11" t="str">
        <f>IF(ISTEXT(AB2),"Text","Not Text")</f>
        <v>Text</v>
      </c>
      <c r="AX3" s="11" t="str">
        <f>IF(ISBLANK(V3),"Blank","Not Blank")</f>
        <v>Not Blank</v>
      </c>
      <c r="AY3" s="11" t="str">
        <f>IF(TRIM(D2)="","Missing Email",IF(ISERROR(SEARCH("@",D2)),"Invalid Email",IF(D2&lt;&gt;TRIM(D2),"Needs Cleaning","Valid")))</f>
        <v>Valid</v>
      </c>
      <c r="AZ3" s="12" t="str">
        <f>IF(W2="Returned","Returned Order",IF(AND(N2-M2&gt;7,U2&gt;3000),"Critical Delay",IF(N2-M2&gt;5,"Late","On Time")))</f>
        <v>Returned Order</v>
      </c>
      <c r="BA3" s="11" t="str">
        <f>IF(ISBLANK(V2),"Unknown",IF(AND(V2&lt;=2,AC2=TRUE),"High Risk",IF(V2=3,"Medium Risk",IF(V2&gt;=4,"Low Risk","Unknown"))))</f>
        <v>Unknown</v>
      </c>
      <c r="BB3" s="12" t="str">
        <f>_xlfn.LET(_xlpm.Category,_xlfn.XLOOKUP(I2,[1]Products_Lookup!A:A,[1]Products_Lookup!B:B,"Not Found"),IF(AND(_xlpm.Category="Electronics",U2&gt;4000),"High Tech Revenue",IF(AND(_xlpm.Category="Furniture",U2&gt;2000),"Premium Furniture","Standard Product")))</f>
        <v>Standard Product</v>
      </c>
    </row>
    <row r="4" spans="1:54" ht="17" x14ac:dyDescent="0.2">
      <c r="A4" s="1" t="s">
        <v>79</v>
      </c>
      <c r="B4" s="1" t="s">
        <v>80</v>
      </c>
      <c r="C4" s="1" t="s">
        <v>81</v>
      </c>
      <c r="D4" s="1" t="s">
        <v>82</v>
      </c>
      <c r="E4" s="1" t="s">
        <v>83</v>
      </c>
      <c r="F4" s="1" t="s">
        <v>62</v>
      </c>
      <c r="G4" s="1" t="s">
        <v>63</v>
      </c>
      <c r="H4" s="1" t="s">
        <v>64</v>
      </c>
      <c r="I4" s="1" t="s">
        <v>84</v>
      </c>
      <c r="J4" s="1" t="s">
        <v>85</v>
      </c>
      <c r="K4" s="1" t="s">
        <v>86</v>
      </c>
      <c r="L4" s="1" t="s">
        <v>87</v>
      </c>
      <c r="M4" s="1" t="s">
        <v>88</v>
      </c>
      <c r="N4" s="1" t="s">
        <v>89</v>
      </c>
      <c r="O4" s="1" t="s">
        <v>90</v>
      </c>
      <c r="P4" s="1" t="s">
        <v>48</v>
      </c>
      <c r="Q4" s="1" t="s">
        <v>37</v>
      </c>
      <c r="R4" s="1">
        <v>340</v>
      </c>
      <c r="S4" s="1">
        <v>15</v>
      </c>
      <c r="T4" s="1">
        <v>6.03</v>
      </c>
      <c r="U4" s="1">
        <v>1740.03</v>
      </c>
      <c r="V4" s="1">
        <v>2</v>
      </c>
      <c r="W4" s="1" t="s">
        <v>49</v>
      </c>
      <c r="X4" s="1"/>
      <c r="Y4" s="1" t="s">
        <v>91</v>
      </c>
      <c r="Z4" s="1" t="s">
        <v>92</v>
      </c>
      <c r="AA4" s="1" t="s">
        <v>93</v>
      </c>
      <c r="AB4" s="1" t="s">
        <v>54</v>
      </c>
      <c r="AC4" s="1" t="s">
        <v>55</v>
      </c>
      <c r="AD4" s="1">
        <v>1</v>
      </c>
      <c r="AE4" s="1" t="s">
        <v>94</v>
      </c>
      <c r="AF4" s="1" t="e">
        <v>#VALUE!</v>
      </c>
      <c r="AG4" s="1" t="s">
        <v>78</v>
      </c>
      <c r="AH4" s="11" t="str">
        <f t="shared" ref="AH4:AH67" si="0">RIGHT(AA3,4)</f>
        <v>9524</v>
      </c>
      <c r="AI4" s="11">
        <f t="shared" ref="AI4:AI67" si="1">LEN(AB3)</f>
        <v>4</v>
      </c>
      <c r="AJ4" s="11" t="str">
        <f t="shared" ref="AJ4:AJ67" si="2">TRIM(AB3)</f>
        <v>Good</v>
      </c>
      <c r="AK4" s="11" t="str">
        <f t="shared" ref="AK4:AK67" si="3">A3&amp;" - "&amp;J3&amp;" - "&amp;F3</f>
        <v>O0003 - Desk Chair - Saudi Arabia</v>
      </c>
      <c r="AL4" s="11">
        <f t="shared" ref="AL4:AL67" si="4">SEARCH("@",D3)</f>
        <v>6</v>
      </c>
      <c r="AM4" s="11" t="e">
        <f t="shared" ref="AM4:AM67" si="5">VALUE(Q3)</f>
        <v>#VALUE!</v>
      </c>
      <c r="AN4" s="11" t="str">
        <f t="shared" ref="AN4:AN67" si="6">IF(N3-M3&gt;5,"Late","On Time")</f>
        <v>On Time</v>
      </c>
      <c r="AO4" s="11" t="str">
        <f t="shared" ref="AO4:AO67" si="7">IF(U3&gt;5000,"Platinum",IF(U3&gt;=3000,"Gold",IF(U3&gt;=1000,"Silver","Bronze")))</f>
        <v>Bronze</v>
      </c>
      <c r="AP4" s="12" t="str">
        <f>CHOOSE(AD4,"Critical","High","Medium","Low")</f>
        <v>Critical</v>
      </c>
      <c r="AV4" s="11" t="str">
        <f t="shared" ref="AV4:AV67" si="8">IF(ISNUMBER(Q3),"Valid Number","Not Numeric")</f>
        <v>Not Numeric</v>
      </c>
      <c r="AW4" s="11" t="str">
        <f t="shared" ref="AW4:AW67" si="9">IF(ISTEXT(AB3),"Text","Not Text")</f>
        <v>Text</v>
      </c>
      <c r="AX4" s="11" t="str">
        <f t="shared" ref="AX4:AX67" si="10">IF(ISBLANK(V4),"Blank","Not Blank")</f>
        <v>Not Blank</v>
      </c>
      <c r="AY4" s="11" t="str">
        <f t="shared" ref="AY4:AY67" si="11">IF(TRIM(D3)="","Missing Email",IF(ISERROR(SEARCH("@",D3)),"Invalid Email",IF(D3&lt;&gt;TRIM(D3),"Needs Cleaning","Valid")))</f>
        <v>Valid</v>
      </c>
      <c r="AZ4" s="12" t="str">
        <f t="shared" ref="AZ4:AZ67" si="12">IF(W3="Returned","Returned Order",IF(AND(N3-M3&gt;7,U3&gt;3000),"Critical Delay",IF(N3-M3&gt;5,"Late","On Time")))</f>
        <v>On Time</v>
      </c>
      <c r="BA4" s="11" t="str">
        <f t="shared" ref="BA4:BA67" si="13">IF(ISBLANK(V3),"Unknown",IF(AND(V3&lt;=2,AC3=TRUE),"High Risk",IF(V3=3,"Medium Risk",IF(V3&gt;=4,"Low Risk","Unknown"))))</f>
        <v>Low Risk</v>
      </c>
      <c r="BB4" s="12" t="str">
        <f>_xlfn.LET(_xlpm.Category,_xlfn.XLOOKUP(I3,[1]Products_Lookup!A:A,[1]Products_Lookup!B:B,"Not Found"),IF(AND(_xlpm.Category="Electronics",U3&gt;4000),"High Tech Revenue",IF(AND(_xlpm.Category="Furniture",U3&gt;2000),"Premium Furniture","Standard Product")))</f>
        <v>Standard Product</v>
      </c>
    </row>
    <row r="5" spans="1:54" ht="17" x14ac:dyDescent="0.2">
      <c r="A5" s="1" t="s">
        <v>95</v>
      </c>
      <c r="B5" s="1" t="s">
        <v>96</v>
      </c>
      <c r="C5" s="1" t="s">
        <v>97</v>
      </c>
      <c r="D5" s="1" t="s">
        <v>98</v>
      </c>
      <c r="E5" s="1" t="s">
        <v>37</v>
      </c>
      <c r="F5" s="1" t="s">
        <v>99</v>
      </c>
      <c r="G5" s="1" t="s">
        <v>100</v>
      </c>
      <c r="H5" s="1" t="s">
        <v>101</v>
      </c>
      <c r="I5" s="1" t="s">
        <v>102</v>
      </c>
      <c r="J5" s="1" t="s">
        <v>103</v>
      </c>
      <c r="K5" s="1" t="s">
        <v>104</v>
      </c>
      <c r="L5" s="1" t="s">
        <v>105</v>
      </c>
      <c r="M5" s="1" t="s">
        <v>106</v>
      </c>
      <c r="N5" s="1" t="s">
        <v>107</v>
      </c>
      <c r="O5" s="1" t="s">
        <v>108</v>
      </c>
      <c r="P5" s="1" t="s">
        <v>109</v>
      </c>
      <c r="Q5" s="1">
        <v>5</v>
      </c>
      <c r="R5" s="1">
        <v>900</v>
      </c>
      <c r="S5" s="1">
        <v>20</v>
      </c>
      <c r="T5" s="1">
        <v>18.440000000000001</v>
      </c>
      <c r="U5" s="1">
        <v>3618.44</v>
      </c>
      <c r="V5" s="1">
        <v>5</v>
      </c>
      <c r="W5" s="1" t="s">
        <v>72</v>
      </c>
      <c r="X5" s="1"/>
      <c r="Y5" s="1" t="s">
        <v>110</v>
      </c>
      <c r="Z5" s="1" t="s">
        <v>111</v>
      </c>
      <c r="AA5" s="1" t="s">
        <v>112</v>
      </c>
      <c r="AB5" s="1"/>
      <c r="AC5" s="1" t="s">
        <v>55</v>
      </c>
      <c r="AD5" s="1">
        <v>1</v>
      </c>
      <c r="AE5" s="1" t="s">
        <v>56</v>
      </c>
      <c r="AF5" s="1" t="s">
        <v>113</v>
      </c>
      <c r="AG5" s="1"/>
      <c r="AH5" s="11" t="str">
        <f t="shared" si="0"/>
        <v>4480</v>
      </c>
      <c r="AI5" s="11">
        <f t="shared" si="1"/>
        <v>4</v>
      </c>
      <c r="AJ5" s="11" t="str">
        <f t="shared" si="2"/>
        <v>Good</v>
      </c>
      <c r="AK5" s="11" t="str">
        <f t="shared" si="3"/>
        <v>O0004 - Coffee Machine - Saudi Arabia</v>
      </c>
      <c r="AL5" s="11">
        <f t="shared" si="4"/>
        <v>6</v>
      </c>
      <c r="AM5" s="11" t="e">
        <f t="shared" si="5"/>
        <v>#VALUE!</v>
      </c>
      <c r="AN5" s="11" t="str">
        <f t="shared" si="6"/>
        <v>Late</v>
      </c>
      <c r="AO5" s="11" t="str">
        <f t="shared" si="7"/>
        <v>Silver</v>
      </c>
      <c r="AP5" s="12" t="str">
        <f t="shared" ref="AP5:AP67" si="14">CHOOSE(AD5,"Critical","High","Medium","Low")</f>
        <v>Critical</v>
      </c>
      <c r="AV5" s="11" t="str">
        <f t="shared" si="8"/>
        <v>Not Numeric</v>
      </c>
      <c r="AW5" s="11" t="str">
        <f t="shared" si="9"/>
        <v>Text</v>
      </c>
      <c r="AX5" s="11" t="str">
        <f t="shared" si="10"/>
        <v>Not Blank</v>
      </c>
      <c r="AY5" s="11" t="str">
        <f t="shared" si="11"/>
        <v>Valid</v>
      </c>
      <c r="AZ5" s="12" t="str">
        <f t="shared" si="12"/>
        <v>Returned Order</v>
      </c>
      <c r="BA5" s="11" t="str">
        <f t="shared" si="13"/>
        <v>Unknown</v>
      </c>
      <c r="BB5" s="12" t="str">
        <f>_xlfn.LET(_xlpm.Category,_xlfn.XLOOKUP(I4,[1]Products_Lookup!A:A,[1]Products_Lookup!B:B,"Not Found"),IF(AND(_xlpm.Category="Electronics",U4&gt;4000),"High Tech Revenue",IF(AND(_xlpm.Category="Furniture",U4&gt;2000),"Premium Furniture","Standard Product")))</f>
        <v>Standard Product</v>
      </c>
    </row>
    <row r="6" spans="1:54" ht="17" x14ac:dyDescent="0.2">
      <c r="A6" s="1" t="s">
        <v>114</v>
      </c>
      <c r="B6" s="1" t="s">
        <v>115</v>
      </c>
      <c r="C6" s="1" t="s">
        <v>116</v>
      </c>
      <c r="D6" s="1" t="s">
        <v>117</v>
      </c>
      <c r="E6" s="1" t="s">
        <v>83</v>
      </c>
      <c r="F6" s="1" t="s">
        <v>62</v>
      </c>
      <c r="G6" s="1" t="s">
        <v>63</v>
      </c>
      <c r="H6" s="1" t="s">
        <v>64</v>
      </c>
      <c r="I6" s="1" t="s">
        <v>41</v>
      </c>
      <c r="J6" s="1" t="s">
        <v>42</v>
      </c>
      <c r="K6" s="1" t="s">
        <v>43</v>
      </c>
      <c r="L6" s="1" t="s">
        <v>44</v>
      </c>
      <c r="M6" s="1" t="s">
        <v>118</v>
      </c>
      <c r="N6" s="1" t="s">
        <v>119</v>
      </c>
      <c r="O6" s="1" t="s">
        <v>71</v>
      </c>
      <c r="P6" s="1" t="s">
        <v>109</v>
      </c>
      <c r="Q6" s="1" t="s">
        <v>37</v>
      </c>
      <c r="R6" s="1">
        <v>150</v>
      </c>
      <c r="S6" s="1">
        <v>0</v>
      </c>
      <c r="T6" s="1">
        <v>3.73</v>
      </c>
      <c r="U6" s="1">
        <v>453.73</v>
      </c>
      <c r="V6" s="1"/>
      <c r="W6" s="1" t="s">
        <v>72</v>
      </c>
      <c r="X6" s="1"/>
      <c r="Y6" s="1" t="s">
        <v>120</v>
      </c>
      <c r="Z6" s="1" t="s">
        <v>121</v>
      </c>
      <c r="AA6" s="1" t="s">
        <v>122</v>
      </c>
      <c r="AB6" s="1"/>
      <c r="AC6" s="1" t="s">
        <v>55</v>
      </c>
      <c r="AD6" s="1">
        <v>1</v>
      </c>
      <c r="AE6" s="1" t="s">
        <v>56</v>
      </c>
      <c r="AF6" s="1" t="s">
        <v>113</v>
      </c>
      <c r="AG6" s="1"/>
      <c r="AH6" s="11" t="str">
        <f t="shared" si="0"/>
        <v>4233</v>
      </c>
      <c r="AI6" s="11">
        <f t="shared" si="1"/>
        <v>0</v>
      </c>
      <c r="AJ6" s="11" t="str">
        <f t="shared" si="2"/>
        <v/>
      </c>
      <c r="AK6" s="11" t="str">
        <f t="shared" si="3"/>
        <v>O0005 - Phone - Egypt</v>
      </c>
      <c r="AL6" s="11">
        <f t="shared" si="4"/>
        <v>7</v>
      </c>
      <c r="AM6" s="11">
        <f t="shared" si="5"/>
        <v>5</v>
      </c>
      <c r="AN6" s="11" t="str">
        <f t="shared" si="6"/>
        <v>Late</v>
      </c>
      <c r="AO6" s="11" t="str">
        <f t="shared" si="7"/>
        <v>Gold</v>
      </c>
      <c r="AP6" s="12" t="str">
        <f t="shared" si="14"/>
        <v>Critical</v>
      </c>
      <c r="AV6" s="11" t="str">
        <f t="shared" si="8"/>
        <v>Valid Number</v>
      </c>
      <c r="AW6" s="11" t="str">
        <f t="shared" si="9"/>
        <v>Not Text</v>
      </c>
      <c r="AX6" s="11" t="str">
        <f t="shared" si="10"/>
        <v>Blank</v>
      </c>
      <c r="AY6" s="11" t="str">
        <f t="shared" si="11"/>
        <v>Needs Cleaning</v>
      </c>
      <c r="AZ6" s="12" t="str">
        <f t="shared" si="12"/>
        <v>Late</v>
      </c>
      <c r="BA6" s="11" t="str">
        <f t="shared" si="13"/>
        <v>Low Risk</v>
      </c>
      <c r="BB6" s="12" t="str">
        <f>_xlfn.LET(_xlpm.Category,_xlfn.XLOOKUP(I5,[1]Products_Lookup!A:A,[1]Products_Lookup!B:B,"Not Found"),IF(AND(_xlpm.Category="Electronics",U5&gt;4000),"High Tech Revenue",IF(AND(_xlpm.Category="Furniture",U5&gt;2000),"Premium Furniture","Standard Product")))</f>
        <v>Standard Product</v>
      </c>
    </row>
    <row r="7" spans="1:54" ht="17" x14ac:dyDescent="0.2">
      <c r="A7" s="1" t="s">
        <v>123</v>
      </c>
      <c r="B7" s="1" t="s">
        <v>124</v>
      </c>
      <c r="C7" s="1" t="s">
        <v>125</v>
      </c>
      <c r="D7" s="1" t="s">
        <v>126</v>
      </c>
      <c r="E7" s="1" t="s">
        <v>83</v>
      </c>
      <c r="F7" s="1" t="s">
        <v>99</v>
      </c>
      <c r="G7" s="1" t="s">
        <v>100</v>
      </c>
      <c r="H7" s="1" t="s">
        <v>101</v>
      </c>
      <c r="I7" s="1" t="s">
        <v>84</v>
      </c>
      <c r="J7" s="1" t="s">
        <v>85</v>
      </c>
      <c r="K7" s="1" t="s">
        <v>86</v>
      </c>
      <c r="L7" s="1" t="s">
        <v>87</v>
      </c>
      <c r="M7" s="1" t="s">
        <v>127</v>
      </c>
      <c r="N7" s="1" t="s">
        <v>128</v>
      </c>
      <c r="O7" s="1" t="s">
        <v>71</v>
      </c>
      <c r="P7" s="1" t="s">
        <v>109</v>
      </c>
      <c r="Q7" s="1">
        <v>6</v>
      </c>
      <c r="R7" s="1">
        <v>340</v>
      </c>
      <c r="S7" s="1">
        <v>0</v>
      </c>
      <c r="T7" s="1">
        <v>9.27</v>
      </c>
      <c r="U7" s="1">
        <v>2049.27</v>
      </c>
      <c r="V7" s="1"/>
      <c r="W7" s="1" t="s">
        <v>94</v>
      </c>
      <c r="X7" s="1" t="s">
        <v>73</v>
      </c>
      <c r="Y7" s="1" t="s">
        <v>129</v>
      </c>
      <c r="Z7" s="1" t="s">
        <v>130</v>
      </c>
      <c r="AA7" s="1" t="s">
        <v>131</v>
      </c>
      <c r="AB7" s="1" t="s">
        <v>834</v>
      </c>
      <c r="AC7" s="1" t="s">
        <v>133</v>
      </c>
      <c r="AD7" s="1">
        <v>1</v>
      </c>
      <c r="AE7" s="1" t="s">
        <v>77</v>
      </c>
      <c r="AF7" s="1" t="e">
        <v>#N/A</v>
      </c>
      <c r="AG7" s="1"/>
      <c r="AH7" s="11" t="str">
        <f t="shared" si="0"/>
        <v>2135</v>
      </c>
      <c r="AI7" s="11">
        <f t="shared" si="1"/>
        <v>0</v>
      </c>
      <c r="AJ7" s="11" t="str">
        <f t="shared" si="2"/>
        <v/>
      </c>
      <c r="AK7" s="11" t="str">
        <f t="shared" si="3"/>
        <v>O0006 - Headphones - Saudi Arabia</v>
      </c>
      <c r="AL7" s="11">
        <f t="shared" si="4"/>
        <v>7</v>
      </c>
      <c r="AM7" s="11" t="e">
        <f t="shared" si="5"/>
        <v>#VALUE!</v>
      </c>
      <c r="AN7" s="11" t="str">
        <f t="shared" si="6"/>
        <v>On Time</v>
      </c>
      <c r="AO7" s="11" t="str">
        <f t="shared" si="7"/>
        <v>Bronze</v>
      </c>
      <c r="AP7" s="12" t="str">
        <f t="shared" si="14"/>
        <v>Critical</v>
      </c>
      <c r="AV7" s="11" t="str">
        <f t="shared" si="8"/>
        <v>Not Numeric</v>
      </c>
      <c r="AW7" s="11" t="str">
        <f t="shared" si="9"/>
        <v>Not Text</v>
      </c>
      <c r="AX7" s="11" t="str">
        <f t="shared" si="10"/>
        <v>Blank</v>
      </c>
      <c r="AY7" s="11" t="str">
        <f t="shared" si="11"/>
        <v>Needs Cleaning</v>
      </c>
      <c r="AZ7" s="12" t="str">
        <f t="shared" si="12"/>
        <v>On Time</v>
      </c>
      <c r="BA7" s="11" t="str">
        <f t="shared" si="13"/>
        <v>Unknown</v>
      </c>
      <c r="BB7" s="12" t="str">
        <f>_xlfn.LET(_xlpm.Category,_xlfn.XLOOKUP(I6,[1]Products_Lookup!A:A,[1]Products_Lookup!B:B,"Not Found"),IF(AND(_xlpm.Category="Electronics",U6&gt;4000),"High Tech Revenue",IF(AND(_xlpm.Category="Furniture",U6&gt;2000),"Premium Furniture","Standard Product")))</f>
        <v>Standard Product</v>
      </c>
    </row>
    <row r="8" spans="1:54" ht="17" x14ac:dyDescent="0.2">
      <c r="A8" s="1" t="s">
        <v>134</v>
      </c>
      <c r="B8" s="1" t="s">
        <v>135</v>
      </c>
      <c r="C8" s="1" t="s">
        <v>136</v>
      </c>
      <c r="D8" s="1" t="s">
        <v>137</v>
      </c>
      <c r="E8" s="1" t="s">
        <v>37</v>
      </c>
      <c r="F8" s="1" t="s">
        <v>138</v>
      </c>
      <c r="G8" s="1" t="s">
        <v>139</v>
      </c>
      <c r="H8" s="1" t="s">
        <v>64</v>
      </c>
      <c r="I8" s="1" t="s">
        <v>65</v>
      </c>
      <c r="J8" s="1" t="s">
        <v>66</v>
      </c>
      <c r="K8" s="1" t="s">
        <v>67</v>
      </c>
      <c r="L8" s="1" t="s">
        <v>68</v>
      </c>
      <c r="M8" s="1" t="s">
        <v>45</v>
      </c>
      <c r="N8" s="1" t="s">
        <v>140</v>
      </c>
      <c r="O8" s="1" t="s">
        <v>47</v>
      </c>
      <c r="P8" s="1" t="s">
        <v>48</v>
      </c>
      <c r="Q8" s="1" t="s">
        <v>37</v>
      </c>
      <c r="R8" s="1">
        <v>220</v>
      </c>
      <c r="S8" s="1">
        <v>15</v>
      </c>
      <c r="T8" s="1">
        <v>9.92</v>
      </c>
      <c r="U8" s="1">
        <v>196.92</v>
      </c>
      <c r="V8" s="1">
        <v>4</v>
      </c>
      <c r="W8" s="1" t="s">
        <v>94</v>
      </c>
      <c r="X8" s="1" t="s">
        <v>141</v>
      </c>
      <c r="Y8" s="1" t="s">
        <v>51</v>
      </c>
      <c r="Z8" s="1" t="s">
        <v>142</v>
      </c>
      <c r="AA8" s="1" t="s">
        <v>143</v>
      </c>
      <c r="AB8" s="1"/>
      <c r="AC8" s="1" t="s">
        <v>133</v>
      </c>
      <c r="AD8" s="1">
        <v>2</v>
      </c>
      <c r="AE8" s="1" t="s">
        <v>94</v>
      </c>
      <c r="AF8" s="1" t="e">
        <v>#VALUE!</v>
      </c>
      <c r="AG8" s="1"/>
      <c r="AH8" s="11" t="str">
        <f t="shared" si="0"/>
        <v>4388</v>
      </c>
      <c r="AI8" s="11">
        <f t="shared" si="1"/>
        <v>20</v>
      </c>
      <c r="AJ8" s="11" t="str">
        <f t="shared" si="2"/>
        <v>Excellent service</v>
      </c>
      <c r="AK8" s="11" t="str">
        <f t="shared" si="3"/>
        <v>O0007 - Coffee Machine - Egypt</v>
      </c>
      <c r="AL8" s="11" t="e">
        <f t="shared" si="4"/>
        <v>#VALUE!</v>
      </c>
      <c r="AM8" s="11">
        <f t="shared" si="5"/>
        <v>6</v>
      </c>
      <c r="AN8" s="11" t="str">
        <f t="shared" si="6"/>
        <v>Late</v>
      </c>
      <c r="AO8" s="11" t="str">
        <f t="shared" si="7"/>
        <v>Silver</v>
      </c>
      <c r="AP8" s="12" t="str">
        <f t="shared" si="14"/>
        <v>High</v>
      </c>
      <c r="AV8" s="11" t="str">
        <f t="shared" si="8"/>
        <v>Valid Number</v>
      </c>
      <c r="AW8" s="11" t="str">
        <f t="shared" si="9"/>
        <v>Text</v>
      </c>
      <c r="AX8" s="11" t="str">
        <f t="shared" si="10"/>
        <v>Not Blank</v>
      </c>
      <c r="AY8" s="11" t="str">
        <f t="shared" si="11"/>
        <v>Invalid Email</v>
      </c>
      <c r="AZ8" s="12" t="str">
        <f t="shared" si="12"/>
        <v>Late</v>
      </c>
      <c r="BA8" s="11" t="str">
        <f t="shared" si="13"/>
        <v>Unknown</v>
      </c>
      <c r="BB8" s="12" t="str">
        <f>_xlfn.LET(_xlpm.Category,_xlfn.XLOOKUP(I7,[1]Products_Lookup!A:A,[1]Products_Lookup!B:B,"Not Found"),IF(AND(_xlpm.Category="Electronics",U7&gt;4000),"High Tech Revenue",IF(AND(_xlpm.Category="Furniture",U7&gt;2000),"Premium Furniture","Standard Product")))</f>
        <v>Standard Product</v>
      </c>
    </row>
    <row r="9" spans="1:54" ht="17" x14ac:dyDescent="0.2">
      <c r="A9" s="1" t="s">
        <v>144</v>
      </c>
      <c r="B9" s="1" t="s">
        <v>145</v>
      </c>
      <c r="C9" s="1" t="s">
        <v>146</v>
      </c>
      <c r="D9" s="1" t="s">
        <v>147</v>
      </c>
      <c r="E9" s="1" t="s">
        <v>148</v>
      </c>
      <c r="F9" s="1" t="s">
        <v>62</v>
      </c>
      <c r="G9" s="1" t="s">
        <v>63</v>
      </c>
      <c r="H9" s="1" t="s">
        <v>64</v>
      </c>
      <c r="I9" s="1" t="s">
        <v>149</v>
      </c>
      <c r="J9" s="1" t="s">
        <v>150</v>
      </c>
      <c r="K9" s="1" t="s">
        <v>104</v>
      </c>
      <c r="L9" s="1" t="s">
        <v>151</v>
      </c>
      <c r="M9" s="1" t="s">
        <v>152</v>
      </c>
      <c r="N9" s="1" t="s">
        <v>153</v>
      </c>
      <c r="O9" s="1" t="s">
        <v>71</v>
      </c>
      <c r="P9" s="1" t="s">
        <v>154</v>
      </c>
      <c r="Q9" s="1">
        <v>4</v>
      </c>
      <c r="R9" s="1">
        <v>1200</v>
      </c>
      <c r="S9" s="1">
        <v>0</v>
      </c>
      <c r="T9" s="1">
        <v>8.24</v>
      </c>
      <c r="U9" s="1">
        <v>4808.24</v>
      </c>
      <c r="V9" s="1">
        <v>1</v>
      </c>
      <c r="W9" s="1" t="s">
        <v>72</v>
      </c>
      <c r="X9" s="1" t="s">
        <v>50</v>
      </c>
      <c r="Y9" s="1" t="s">
        <v>74</v>
      </c>
      <c r="Z9" s="1" t="s">
        <v>155</v>
      </c>
      <c r="AA9" s="1" t="s">
        <v>156</v>
      </c>
      <c r="AB9" s="1"/>
      <c r="AC9" s="1" t="s">
        <v>133</v>
      </c>
      <c r="AD9" s="1">
        <v>4</v>
      </c>
      <c r="AE9" s="1" t="s">
        <v>94</v>
      </c>
      <c r="AF9" s="1"/>
      <c r="AG9" s="1" t="s">
        <v>57</v>
      </c>
      <c r="AH9" s="11" t="str">
        <f t="shared" si="0"/>
        <v>5030</v>
      </c>
      <c r="AI9" s="11">
        <f t="shared" si="1"/>
        <v>0</v>
      </c>
      <c r="AJ9" s="11" t="str">
        <f t="shared" si="2"/>
        <v/>
      </c>
      <c r="AK9" s="11" t="str">
        <f t="shared" si="3"/>
        <v>O0008 - Desk Chair - UAE</v>
      </c>
      <c r="AL9" s="11">
        <f t="shared" si="4"/>
        <v>6</v>
      </c>
      <c r="AM9" s="11" t="e">
        <f t="shared" si="5"/>
        <v>#VALUE!</v>
      </c>
      <c r="AN9" s="11" t="str">
        <f t="shared" si="6"/>
        <v>On Time</v>
      </c>
      <c r="AO9" s="11" t="str">
        <f t="shared" si="7"/>
        <v>Bronze</v>
      </c>
      <c r="AP9" s="12" t="str">
        <f t="shared" si="14"/>
        <v>Low</v>
      </c>
      <c r="AV9" s="11" t="str">
        <f t="shared" si="8"/>
        <v>Not Numeric</v>
      </c>
      <c r="AW9" s="11" t="str">
        <f t="shared" si="9"/>
        <v>Not Text</v>
      </c>
      <c r="AX9" s="11" t="str">
        <f t="shared" si="10"/>
        <v>Not Blank</v>
      </c>
      <c r="AY9" s="11" t="str">
        <f t="shared" si="11"/>
        <v>Valid</v>
      </c>
      <c r="AZ9" s="12" t="str">
        <f t="shared" si="12"/>
        <v>On Time</v>
      </c>
      <c r="BA9" s="11" t="str">
        <f t="shared" si="13"/>
        <v>Low Risk</v>
      </c>
      <c r="BB9" s="12" t="str">
        <f>_xlfn.LET(_xlpm.Category,_xlfn.XLOOKUP(I8,[1]Products_Lookup!A:A,[1]Products_Lookup!B:B,"Not Found"),IF(AND(_xlpm.Category="Electronics",U8&gt;4000),"High Tech Revenue",IF(AND(_xlpm.Category="Furniture",U8&gt;2000),"Premium Furniture","Standard Product")))</f>
        <v>Standard Product</v>
      </c>
    </row>
    <row r="10" spans="1:54" ht="17" x14ac:dyDescent="0.2">
      <c r="A10" s="1" t="s">
        <v>157</v>
      </c>
      <c r="B10" s="1" t="s">
        <v>158</v>
      </c>
      <c r="C10" s="1" t="s">
        <v>159</v>
      </c>
      <c r="D10" s="1" t="s">
        <v>160</v>
      </c>
      <c r="E10" s="1" t="s">
        <v>161</v>
      </c>
      <c r="F10" s="1" t="s">
        <v>138</v>
      </c>
      <c r="G10" s="1" t="s">
        <v>139</v>
      </c>
      <c r="H10" s="1" t="s">
        <v>64</v>
      </c>
      <c r="I10" s="1" t="s">
        <v>41</v>
      </c>
      <c r="J10" s="1" t="s">
        <v>42</v>
      </c>
      <c r="K10" s="1" t="s">
        <v>43</v>
      </c>
      <c r="L10" s="1" t="s">
        <v>44</v>
      </c>
      <c r="M10" s="1" t="s">
        <v>118</v>
      </c>
      <c r="N10" s="1" t="s">
        <v>162</v>
      </c>
      <c r="O10" s="1" t="s">
        <v>71</v>
      </c>
      <c r="P10" s="1" t="s">
        <v>109</v>
      </c>
      <c r="Q10" s="1">
        <v>3</v>
      </c>
      <c r="R10" s="1">
        <v>150</v>
      </c>
      <c r="S10" s="1">
        <v>0</v>
      </c>
      <c r="T10" s="1">
        <v>13.49</v>
      </c>
      <c r="U10" s="1">
        <v>463.49</v>
      </c>
      <c r="V10" s="1">
        <v>2</v>
      </c>
      <c r="W10" s="1" t="s">
        <v>49</v>
      </c>
      <c r="X10" s="1" t="s">
        <v>73</v>
      </c>
      <c r="Y10" s="1" t="s">
        <v>163</v>
      </c>
      <c r="Z10" s="1" t="s">
        <v>164</v>
      </c>
      <c r="AA10" s="1" t="s">
        <v>165</v>
      </c>
      <c r="AB10" s="1"/>
      <c r="AC10" s="1" t="s">
        <v>133</v>
      </c>
      <c r="AD10" s="1">
        <v>4</v>
      </c>
      <c r="AE10" s="1" t="s">
        <v>94</v>
      </c>
      <c r="AF10" s="1" t="s">
        <v>113</v>
      </c>
      <c r="AG10" s="1"/>
      <c r="AH10" s="11" t="str">
        <f t="shared" si="0"/>
        <v>9561</v>
      </c>
      <c r="AI10" s="11">
        <f t="shared" si="1"/>
        <v>0</v>
      </c>
      <c r="AJ10" s="11" t="str">
        <f t="shared" si="2"/>
        <v/>
      </c>
      <c r="AK10" s="11" t="str">
        <f t="shared" si="3"/>
        <v>O0009 - Laptop - Saudi Arabia</v>
      </c>
      <c r="AL10" s="11">
        <f t="shared" si="4"/>
        <v>7</v>
      </c>
      <c r="AM10" s="11">
        <f t="shared" si="5"/>
        <v>4</v>
      </c>
      <c r="AN10" s="11" t="str">
        <f t="shared" si="6"/>
        <v>Late</v>
      </c>
      <c r="AO10" s="11" t="str">
        <f t="shared" si="7"/>
        <v>Gold</v>
      </c>
      <c r="AP10" s="12" t="str">
        <f t="shared" si="14"/>
        <v>Low</v>
      </c>
      <c r="AV10" s="11" t="str">
        <f t="shared" si="8"/>
        <v>Valid Number</v>
      </c>
      <c r="AW10" s="11" t="str">
        <f t="shared" si="9"/>
        <v>Not Text</v>
      </c>
      <c r="AX10" s="11" t="str">
        <f t="shared" si="10"/>
        <v>Not Blank</v>
      </c>
      <c r="AY10" s="11" t="str">
        <f t="shared" si="11"/>
        <v>Needs Cleaning</v>
      </c>
      <c r="AZ10" s="12" t="str">
        <f t="shared" si="12"/>
        <v>Critical Delay</v>
      </c>
      <c r="BA10" s="11" t="str">
        <f t="shared" si="13"/>
        <v>Unknown</v>
      </c>
      <c r="BB10" s="12" t="str">
        <f>_xlfn.LET(_xlpm.Category,_xlfn.XLOOKUP(I9,[1]Products_Lookup!A:A,[1]Products_Lookup!B:B,"Not Found"),IF(AND(_xlpm.Category="Electronics",U9&gt;4000),"High Tech Revenue",IF(AND(_xlpm.Category="Furniture",U9&gt;2000),"Premium Furniture","Standard Product")))</f>
        <v>Standard Product</v>
      </c>
    </row>
    <row r="11" spans="1:54" ht="17" x14ac:dyDescent="0.2">
      <c r="A11" s="1" t="s">
        <v>166</v>
      </c>
      <c r="B11" s="1" t="s">
        <v>167</v>
      </c>
      <c r="C11" s="1" t="s">
        <v>168</v>
      </c>
      <c r="D11" s="1" t="s">
        <v>169</v>
      </c>
      <c r="E11" s="1" t="s">
        <v>83</v>
      </c>
      <c r="F11" s="1" t="s">
        <v>138</v>
      </c>
      <c r="G11" s="1" t="s">
        <v>139</v>
      </c>
      <c r="H11" s="1" t="s">
        <v>64</v>
      </c>
      <c r="I11" s="1" t="s">
        <v>84</v>
      </c>
      <c r="J11" s="1" t="s">
        <v>85</v>
      </c>
      <c r="K11" s="1" t="s">
        <v>86</v>
      </c>
      <c r="L11" s="1" t="s">
        <v>87</v>
      </c>
      <c r="M11" s="1" t="s">
        <v>170</v>
      </c>
      <c r="N11" s="1" t="s">
        <v>171</v>
      </c>
      <c r="O11" s="1" t="s">
        <v>71</v>
      </c>
      <c r="P11" s="1" t="s">
        <v>48</v>
      </c>
      <c r="Q11" s="1" t="s">
        <v>37</v>
      </c>
      <c r="R11" s="1">
        <v>340</v>
      </c>
      <c r="S11" s="1">
        <v>0</v>
      </c>
      <c r="T11" s="1">
        <v>5.65</v>
      </c>
      <c r="U11" s="1">
        <v>2725.65</v>
      </c>
      <c r="V11" s="1">
        <v>3</v>
      </c>
      <c r="W11" s="1" t="s">
        <v>94</v>
      </c>
      <c r="X11" s="1" t="s">
        <v>73</v>
      </c>
      <c r="Y11" s="1" t="s">
        <v>172</v>
      </c>
      <c r="Z11" s="1" t="s">
        <v>173</v>
      </c>
      <c r="AA11" s="1" t="s">
        <v>174</v>
      </c>
      <c r="AB11" s="1"/>
      <c r="AC11" s="1" t="s">
        <v>133</v>
      </c>
      <c r="AD11" s="1">
        <v>2</v>
      </c>
      <c r="AE11" s="1" t="s">
        <v>94</v>
      </c>
      <c r="AF11" s="1" t="e">
        <v>#N/A</v>
      </c>
      <c r="AG11" s="1" t="s">
        <v>57</v>
      </c>
      <c r="AH11" s="11" t="str">
        <f t="shared" si="0"/>
        <v>8985</v>
      </c>
      <c r="AI11" s="11">
        <f t="shared" si="1"/>
        <v>0</v>
      </c>
      <c r="AJ11" s="11" t="str">
        <f t="shared" si="2"/>
        <v/>
      </c>
      <c r="AK11" s="11" t="str">
        <f t="shared" si="3"/>
        <v>O0010 - Headphones - UAE</v>
      </c>
      <c r="AL11" s="11">
        <f t="shared" si="4"/>
        <v>7</v>
      </c>
      <c r="AM11" s="11">
        <f t="shared" si="5"/>
        <v>3</v>
      </c>
      <c r="AN11" s="11" t="str">
        <f t="shared" si="6"/>
        <v>Late</v>
      </c>
      <c r="AO11" s="11" t="str">
        <f t="shared" si="7"/>
        <v>Bronze</v>
      </c>
      <c r="AP11" s="12" t="str">
        <f t="shared" si="14"/>
        <v>High</v>
      </c>
      <c r="AV11" s="11" t="str">
        <f t="shared" si="8"/>
        <v>Valid Number</v>
      </c>
      <c r="AW11" s="11" t="str">
        <f t="shared" si="9"/>
        <v>Not Text</v>
      </c>
      <c r="AX11" s="11" t="str">
        <f t="shared" si="10"/>
        <v>Not Blank</v>
      </c>
      <c r="AY11" s="11" t="str">
        <f t="shared" si="11"/>
        <v>Valid</v>
      </c>
      <c r="AZ11" s="12" t="str">
        <f t="shared" si="12"/>
        <v>Returned Order</v>
      </c>
      <c r="BA11" s="11" t="str">
        <f t="shared" si="13"/>
        <v>Unknown</v>
      </c>
      <c r="BB11" s="12" t="str">
        <f>_xlfn.LET(_xlpm.Category,_xlfn.XLOOKUP(I10,[1]Products_Lookup!A:A,[1]Products_Lookup!B:B,"Not Found"),IF(AND(_xlpm.Category="Electronics",U10&gt;4000),"High Tech Revenue",IF(AND(_xlpm.Category="Furniture",U10&gt;2000),"Premium Furniture","Standard Product")))</f>
        <v>Standard Product</v>
      </c>
    </row>
    <row r="12" spans="1:54" ht="17" x14ac:dyDescent="0.2">
      <c r="A12" s="1" t="s">
        <v>175</v>
      </c>
      <c r="B12" s="1" t="s">
        <v>176</v>
      </c>
      <c r="C12" s="1" t="s">
        <v>177</v>
      </c>
      <c r="D12" s="1" t="s">
        <v>178</v>
      </c>
      <c r="E12" s="1" t="s">
        <v>37</v>
      </c>
      <c r="F12" s="1" t="s">
        <v>38</v>
      </c>
      <c r="G12" s="1" t="s">
        <v>39</v>
      </c>
      <c r="H12" s="1" t="s">
        <v>40</v>
      </c>
      <c r="I12" s="1" t="s">
        <v>84</v>
      </c>
      <c r="J12" s="1" t="s">
        <v>85</v>
      </c>
      <c r="K12" s="1" t="s">
        <v>86</v>
      </c>
      <c r="L12" s="1" t="s">
        <v>87</v>
      </c>
      <c r="M12" s="1" t="s">
        <v>179</v>
      </c>
      <c r="N12" s="1" t="s">
        <v>180</v>
      </c>
      <c r="O12" s="1" t="s">
        <v>108</v>
      </c>
      <c r="P12" s="1" t="s">
        <v>154</v>
      </c>
      <c r="Q12" s="1">
        <v>9</v>
      </c>
      <c r="R12" s="1">
        <v>340</v>
      </c>
      <c r="S12" s="1">
        <v>10</v>
      </c>
      <c r="T12" s="1">
        <v>18.34</v>
      </c>
      <c r="U12" s="1">
        <v>2772.34</v>
      </c>
      <c r="V12" s="1">
        <v>3</v>
      </c>
      <c r="W12" s="1" t="s">
        <v>49</v>
      </c>
      <c r="X12" s="1"/>
      <c r="Y12" s="1" t="s">
        <v>181</v>
      </c>
      <c r="Z12" s="1" t="s">
        <v>182</v>
      </c>
      <c r="AA12" s="1" t="s">
        <v>183</v>
      </c>
      <c r="AB12" s="1"/>
      <c r="AC12" s="1" t="s">
        <v>133</v>
      </c>
      <c r="AD12" s="1">
        <v>3</v>
      </c>
      <c r="AE12" s="1" t="s">
        <v>56</v>
      </c>
      <c r="AF12" s="1" t="e">
        <v>#VALUE!</v>
      </c>
      <c r="AG12" s="1"/>
      <c r="AH12" s="11" t="str">
        <f t="shared" si="0"/>
        <v>1711</v>
      </c>
      <c r="AI12" s="11">
        <f t="shared" si="1"/>
        <v>0</v>
      </c>
      <c r="AJ12" s="11" t="str">
        <f t="shared" si="2"/>
        <v/>
      </c>
      <c r="AK12" s="11" t="str">
        <f t="shared" si="3"/>
        <v>O0011 - Coffee Machine - UAE</v>
      </c>
      <c r="AL12" s="11" t="e">
        <f t="shared" si="4"/>
        <v>#VALUE!</v>
      </c>
      <c r="AM12" s="11" t="e">
        <f t="shared" si="5"/>
        <v>#VALUE!</v>
      </c>
      <c r="AN12" s="11" t="str">
        <f t="shared" si="6"/>
        <v>On Time</v>
      </c>
      <c r="AO12" s="11" t="str">
        <f t="shared" si="7"/>
        <v>Silver</v>
      </c>
      <c r="AP12" s="12" t="str">
        <f t="shared" si="14"/>
        <v>Medium</v>
      </c>
      <c r="AV12" s="11" t="str">
        <f t="shared" si="8"/>
        <v>Not Numeric</v>
      </c>
      <c r="AW12" s="11" t="str">
        <f t="shared" si="9"/>
        <v>Not Text</v>
      </c>
      <c r="AX12" s="11" t="str">
        <f t="shared" si="10"/>
        <v>Not Blank</v>
      </c>
      <c r="AY12" s="11" t="str">
        <f t="shared" si="11"/>
        <v>Invalid Email</v>
      </c>
      <c r="AZ12" s="12" t="str">
        <f t="shared" si="12"/>
        <v>On Time</v>
      </c>
      <c r="BA12" s="11" t="str">
        <f t="shared" si="13"/>
        <v>Medium Risk</v>
      </c>
      <c r="BB12" s="12" t="str">
        <f>_xlfn.LET(_xlpm.Category,_xlfn.XLOOKUP(I11,[1]Products_Lookup!A:A,[1]Products_Lookup!B:B,"Not Found"),IF(AND(_xlpm.Category="Electronics",U11&gt;4000),"High Tech Revenue",IF(AND(_xlpm.Category="Furniture",U11&gt;2000),"Premium Furniture","Standard Product")))</f>
        <v>Standard Product</v>
      </c>
    </row>
    <row r="13" spans="1:54" ht="17" x14ac:dyDescent="0.2">
      <c r="A13" s="1" t="s">
        <v>184</v>
      </c>
      <c r="B13" s="1" t="s">
        <v>185</v>
      </c>
      <c r="C13" s="1" t="s">
        <v>186</v>
      </c>
      <c r="D13" s="1" t="s">
        <v>187</v>
      </c>
      <c r="E13" s="1" t="s">
        <v>188</v>
      </c>
      <c r="F13" s="1" t="s">
        <v>38</v>
      </c>
      <c r="G13" s="1" t="s">
        <v>39</v>
      </c>
      <c r="H13" s="1" t="s">
        <v>40</v>
      </c>
      <c r="I13" s="1" t="s">
        <v>102</v>
      </c>
      <c r="J13" s="1" t="s">
        <v>103</v>
      </c>
      <c r="K13" s="1" t="s">
        <v>104</v>
      </c>
      <c r="L13" s="1" t="s">
        <v>105</v>
      </c>
      <c r="M13" s="1" t="s">
        <v>106</v>
      </c>
      <c r="N13" s="1" t="s">
        <v>189</v>
      </c>
      <c r="O13" s="1" t="s">
        <v>71</v>
      </c>
      <c r="P13" s="1" t="s">
        <v>109</v>
      </c>
      <c r="Q13" s="1" t="s">
        <v>37</v>
      </c>
      <c r="R13" s="1">
        <v>900</v>
      </c>
      <c r="S13" s="1">
        <v>10</v>
      </c>
      <c r="T13" s="1">
        <v>7.05</v>
      </c>
      <c r="U13" s="1">
        <v>4867.05</v>
      </c>
      <c r="V13" s="1">
        <v>1</v>
      </c>
      <c r="W13" s="1" t="s">
        <v>94</v>
      </c>
      <c r="X13" s="1" t="s">
        <v>141</v>
      </c>
      <c r="Y13" s="1" t="s">
        <v>181</v>
      </c>
      <c r="Z13" s="1" t="s">
        <v>190</v>
      </c>
      <c r="AA13" s="1" t="s">
        <v>191</v>
      </c>
      <c r="AB13" s="1" t="s">
        <v>192</v>
      </c>
      <c r="AC13" s="1" t="s">
        <v>133</v>
      </c>
      <c r="AD13" s="1">
        <v>1</v>
      </c>
      <c r="AE13" s="1" t="s">
        <v>56</v>
      </c>
      <c r="AF13" s="1" t="e">
        <v>#N/A</v>
      </c>
      <c r="AG13" s="1"/>
      <c r="AH13" s="11" t="str">
        <f t="shared" si="0"/>
        <v>4413</v>
      </c>
      <c r="AI13" s="11">
        <f t="shared" si="1"/>
        <v>0</v>
      </c>
      <c r="AJ13" s="11" t="str">
        <f t="shared" si="2"/>
        <v/>
      </c>
      <c r="AK13" s="11" t="str">
        <f t="shared" si="3"/>
        <v>O0012 - Coffee Machine - Jordan</v>
      </c>
      <c r="AL13" s="11">
        <f t="shared" si="4"/>
        <v>8</v>
      </c>
      <c r="AM13" s="11">
        <f t="shared" si="5"/>
        <v>9</v>
      </c>
      <c r="AN13" s="11" t="str">
        <f t="shared" si="6"/>
        <v>On Time</v>
      </c>
      <c r="AO13" s="11" t="str">
        <f t="shared" si="7"/>
        <v>Silver</v>
      </c>
      <c r="AP13" s="12" t="str">
        <f t="shared" si="14"/>
        <v>Critical</v>
      </c>
      <c r="AV13" s="11" t="str">
        <f t="shared" si="8"/>
        <v>Valid Number</v>
      </c>
      <c r="AW13" s="11" t="str">
        <f t="shared" si="9"/>
        <v>Not Text</v>
      </c>
      <c r="AX13" s="11" t="str">
        <f t="shared" si="10"/>
        <v>Not Blank</v>
      </c>
      <c r="AY13" s="11" t="str">
        <f t="shared" si="11"/>
        <v>Needs Cleaning</v>
      </c>
      <c r="AZ13" s="12" t="str">
        <f t="shared" si="12"/>
        <v>Returned Order</v>
      </c>
      <c r="BA13" s="11" t="str">
        <f t="shared" si="13"/>
        <v>Medium Risk</v>
      </c>
      <c r="BB13" s="12" t="str">
        <f>_xlfn.LET(_xlpm.Category,_xlfn.XLOOKUP(I12,[1]Products_Lookup!A:A,[1]Products_Lookup!B:B,"Not Found"),IF(AND(_xlpm.Category="Electronics",U12&gt;4000),"High Tech Revenue",IF(AND(_xlpm.Category="Furniture",U12&gt;2000),"Premium Furniture","Standard Product")))</f>
        <v>Standard Product</v>
      </c>
    </row>
    <row r="14" spans="1:54" ht="17" x14ac:dyDescent="0.2">
      <c r="A14" s="1" t="s">
        <v>193</v>
      </c>
      <c r="B14" s="1" t="s">
        <v>194</v>
      </c>
      <c r="C14" s="1" t="s">
        <v>195</v>
      </c>
      <c r="D14" s="1" t="s">
        <v>196</v>
      </c>
      <c r="E14" s="1" t="s">
        <v>197</v>
      </c>
      <c r="F14" s="1" t="s">
        <v>99</v>
      </c>
      <c r="G14" s="1" t="s">
        <v>100</v>
      </c>
      <c r="H14" s="1" t="s">
        <v>101</v>
      </c>
      <c r="I14" s="1" t="s">
        <v>84</v>
      </c>
      <c r="J14" s="1" t="s">
        <v>85</v>
      </c>
      <c r="K14" s="1" t="s">
        <v>86</v>
      </c>
      <c r="L14" s="1" t="s">
        <v>87</v>
      </c>
      <c r="M14" s="1" t="s">
        <v>198</v>
      </c>
      <c r="N14" s="1" t="s">
        <v>199</v>
      </c>
      <c r="O14" s="1" t="s">
        <v>108</v>
      </c>
      <c r="P14" s="1" t="s">
        <v>109</v>
      </c>
      <c r="Q14" s="1">
        <v>3</v>
      </c>
      <c r="R14" s="1">
        <v>340</v>
      </c>
      <c r="S14" s="1">
        <v>20</v>
      </c>
      <c r="T14" s="1">
        <v>7.28</v>
      </c>
      <c r="U14" s="1">
        <v>823.28</v>
      </c>
      <c r="V14" s="1">
        <v>1</v>
      </c>
      <c r="W14" s="1" t="s">
        <v>94</v>
      </c>
      <c r="X14" s="1" t="s">
        <v>141</v>
      </c>
      <c r="Y14" s="1" t="s">
        <v>200</v>
      </c>
      <c r="Z14" s="1" t="s">
        <v>201</v>
      </c>
      <c r="AA14" s="1" t="s">
        <v>202</v>
      </c>
      <c r="AB14" s="1" t="s">
        <v>54</v>
      </c>
      <c r="AC14" s="1" t="s">
        <v>133</v>
      </c>
      <c r="AD14" s="1">
        <v>2</v>
      </c>
      <c r="AE14" s="1" t="s">
        <v>77</v>
      </c>
      <c r="AF14" s="1" t="e">
        <v>#VALUE!</v>
      </c>
      <c r="AG14" s="1" t="s">
        <v>78</v>
      </c>
      <c r="AH14" s="11" t="str">
        <f t="shared" si="0"/>
        <v>8106</v>
      </c>
      <c r="AI14" s="11">
        <f t="shared" si="1"/>
        <v>15</v>
      </c>
      <c r="AJ14" s="11" t="str">
        <f t="shared" si="2"/>
        <v>Late delivery</v>
      </c>
      <c r="AK14" s="11" t="str">
        <f t="shared" si="3"/>
        <v>O0013 - Phone - Jordan</v>
      </c>
      <c r="AL14" s="11" t="e">
        <f t="shared" si="4"/>
        <v>#VALUE!</v>
      </c>
      <c r="AM14" s="11" t="e">
        <f t="shared" si="5"/>
        <v>#VALUE!</v>
      </c>
      <c r="AN14" s="11" t="str">
        <f t="shared" si="6"/>
        <v>On Time</v>
      </c>
      <c r="AO14" s="11" t="str">
        <f t="shared" si="7"/>
        <v>Gold</v>
      </c>
      <c r="AP14" s="12" t="str">
        <f t="shared" si="14"/>
        <v>High</v>
      </c>
      <c r="AV14" s="11" t="str">
        <f t="shared" si="8"/>
        <v>Not Numeric</v>
      </c>
      <c r="AW14" s="11" t="str">
        <f t="shared" si="9"/>
        <v>Text</v>
      </c>
      <c r="AX14" s="11" t="str">
        <f t="shared" si="10"/>
        <v>Not Blank</v>
      </c>
      <c r="AY14" s="11" t="str">
        <f t="shared" si="11"/>
        <v>Invalid Email</v>
      </c>
      <c r="AZ14" s="12" t="str">
        <f t="shared" si="12"/>
        <v>On Time</v>
      </c>
      <c r="BA14" s="11" t="str">
        <f t="shared" si="13"/>
        <v>Unknown</v>
      </c>
      <c r="BB14" s="12" t="str">
        <f>_xlfn.LET(_xlpm.Category,_xlfn.XLOOKUP(I13,[1]Products_Lookup!A:A,[1]Products_Lookup!B:B,"Not Found"),IF(AND(_xlpm.Category="Electronics",U13&gt;4000),"High Tech Revenue",IF(AND(_xlpm.Category="Furniture",U13&gt;2000),"Premium Furniture","Standard Product")))</f>
        <v>Standard Product</v>
      </c>
    </row>
    <row r="15" spans="1:54" ht="17" x14ac:dyDescent="0.2">
      <c r="A15" s="1" t="s">
        <v>203</v>
      </c>
      <c r="B15" s="1" t="s">
        <v>204</v>
      </c>
      <c r="C15" s="1" t="s">
        <v>205</v>
      </c>
      <c r="D15" s="1" t="s">
        <v>206</v>
      </c>
      <c r="E15" s="1" t="s">
        <v>37</v>
      </c>
      <c r="F15" s="1" t="s">
        <v>99</v>
      </c>
      <c r="G15" s="1" t="s">
        <v>100</v>
      </c>
      <c r="H15" s="1" t="s">
        <v>101</v>
      </c>
      <c r="I15" s="1" t="s">
        <v>102</v>
      </c>
      <c r="J15" s="1" t="s">
        <v>103</v>
      </c>
      <c r="K15" s="1" t="s">
        <v>104</v>
      </c>
      <c r="L15" s="1" t="s">
        <v>105</v>
      </c>
      <c r="M15" s="1" t="s">
        <v>207</v>
      </c>
      <c r="N15" s="1" t="s">
        <v>208</v>
      </c>
      <c r="O15" s="1" t="s">
        <v>47</v>
      </c>
      <c r="P15" s="1" t="s">
        <v>48</v>
      </c>
      <c r="Q15" s="1">
        <v>8</v>
      </c>
      <c r="R15" s="1">
        <v>900</v>
      </c>
      <c r="S15" s="1">
        <v>0</v>
      </c>
      <c r="T15" s="1">
        <v>13.99</v>
      </c>
      <c r="U15" s="1">
        <v>7213.99</v>
      </c>
      <c r="V15" s="1">
        <v>5</v>
      </c>
      <c r="W15" s="1" t="s">
        <v>49</v>
      </c>
      <c r="X15" s="1" t="s">
        <v>73</v>
      </c>
      <c r="Y15" s="1" t="s">
        <v>74</v>
      </c>
      <c r="Z15" s="1" t="s">
        <v>209</v>
      </c>
      <c r="AA15" s="1" t="s">
        <v>210</v>
      </c>
      <c r="AB15" s="1" t="s">
        <v>192</v>
      </c>
      <c r="AC15" s="1" t="s">
        <v>55</v>
      </c>
      <c r="AD15" s="1">
        <v>2</v>
      </c>
      <c r="AE15" s="1" t="s">
        <v>94</v>
      </c>
      <c r="AF15" s="1" t="e">
        <v>#N/A</v>
      </c>
      <c r="AG15" s="1" t="s">
        <v>57</v>
      </c>
      <c r="AH15" s="11" t="str">
        <f t="shared" si="0"/>
        <v>5623</v>
      </c>
      <c r="AI15" s="11">
        <f t="shared" si="1"/>
        <v>4</v>
      </c>
      <c r="AJ15" s="11" t="str">
        <f t="shared" si="2"/>
        <v>Good</v>
      </c>
      <c r="AK15" s="11" t="str">
        <f t="shared" si="3"/>
        <v>O0014 - Coffee Machine - Egypt</v>
      </c>
      <c r="AL15" s="11">
        <f t="shared" si="4"/>
        <v>8</v>
      </c>
      <c r="AM15" s="11">
        <f t="shared" si="5"/>
        <v>3</v>
      </c>
      <c r="AN15" s="11" t="str">
        <f t="shared" si="6"/>
        <v>On Time</v>
      </c>
      <c r="AO15" s="11" t="str">
        <f t="shared" si="7"/>
        <v>Bronze</v>
      </c>
      <c r="AP15" s="12" t="str">
        <f t="shared" si="14"/>
        <v>High</v>
      </c>
      <c r="AV15" s="11" t="str">
        <f t="shared" si="8"/>
        <v>Valid Number</v>
      </c>
      <c r="AW15" s="11" t="str">
        <f t="shared" si="9"/>
        <v>Text</v>
      </c>
      <c r="AX15" s="11" t="str">
        <f t="shared" si="10"/>
        <v>Not Blank</v>
      </c>
      <c r="AY15" s="11" t="str">
        <f t="shared" si="11"/>
        <v>Needs Cleaning</v>
      </c>
      <c r="AZ15" s="12" t="str">
        <f t="shared" si="12"/>
        <v>On Time</v>
      </c>
      <c r="BA15" s="11" t="str">
        <f t="shared" si="13"/>
        <v>Unknown</v>
      </c>
      <c r="BB15" s="12" t="str">
        <f>_xlfn.LET(_xlpm.Category,_xlfn.XLOOKUP(I14,[1]Products_Lookup!A:A,[1]Products_Lookup!B:B,"Not Found"),IF(AND(_xlpm.Category="Electronics",U14&gt;4000),"High Tech Revenue",IF(AND(_xlpm.Category="Furniture",U14&gt;2000),"Premium Furniture","Standard Product")))</f>
        <v>Standard Product</v>
      </c>
    </row>
    <row r="16" spans="1:54" ht="17" x14ac:dyDescent="0.2">
      <c r="A16" s="1" t="s">
        <v>211</v>
      </c>
      <c r="B16" s="1" t="s">
        <v>212</v>
      </c>
      <c r="C16" s="1" t="s">
        <v>213</v>
      </c>
      <c r="D16" s="1" t="s">
        <v>214</v>
      </c>
      <c r="E16" s="1" t="s">
        <v>215</v>
      </c>
      <c r="F16" s="1" t="s">
        <v>38</v>
      </c>
      <c r="G16" s="1" t="s">
        <v>39</v>
      </c>
      <c r="H16" s="1" t="s">
        <v>40</v>
      </c>
      <c r="I16" s="1" t="s">
        <v>84</v>
      </c>
      <c r="J16" s="1" t="s">
        <v>85</v>
      </c>
      <c r="K16" s="1" t="s">
        <v>86</v>
      </c>
      <c r="L16" s="1" t="s">
        <v>87</v>
      </c>
      <c r="M16" s="1" t="s">
        <v>216</v>
      </c>
      <c r="N16" s="1" t="s">
        <v>217</v>
      </c>
      <c r="O16" s="1" t="s">
        <v>71</v>
      </c>
      <c r="P16" s="1" t="s">
        <v>154</v>
      </c>
      <c r="Q16" s="1">
        <v>9</v>
      </c>
      <c r="R16" s="1">
        <v>340</v>
      </c>
      <c r="S16" s="1">
        <v>10</v>
      </c>
      <c r="T16" s="1">
        <v>18.079999999999998</v>
      </c>
      <c r="U16" s="1">
        <v>2772.08</v>
      </c>
      <c r="V16" s="1">
        <v>2</v>
      </c>
      <c r="W16" s="1" t="s">
        <v>72</v>
      </c>
      <c r="X16" s="1"/>
      <c r="Y16" s="1" t="s">
        <v>129</v>
      </c>
      <c r="Z16" s="1" t="s">
        <v>218</v>
      </c>
      <c r="AA16" s="1" t="s">
        <v>219</v>
      </c>
      <c r="AB16" s="1" t="s">
        <v>54</v>
      </c>
      <c r="AC16" s="1" t="s">
        <v>133</v>
      </c>
      <c r="AD16" s="1">
        <v>4</v>
      </c>
      <c r="AE16" s="1"/>
      <c r="AF16" s="1" t="e">
        <v>#VALUE!</v>
      </c>
      <c r="AG16" s="1"/>
      <c r="AH16" s="11" t="str">
        <f t="shared" si="0"/>
        <v>3605</v>
      </c>
      <c r="AI16" s="11">
        <f t="shared" si="1"/>
        <v>15</v>
      </c>
      <c r="AJ16" s="11" t="str">
        <f t="shared" si="2"/>
        <v>Late delivery</v>
      </c>
      <c r="AK16" s="11" t="str">
        <f t="shared" si="3"/>
        <v>O0015 - Phone - Egypt</v>
      </c>
      <c r="AL16" s="11">
        <f t="shared" si="4"/>
        <v>7</v>
      </c>
      <c r="AM16" s="11">
        <f t="shared" si="5"/>
        <v>8</v>
      </c>
      <c r="AN16" s="11" t="str">
        <f t="shared" si="6"/>
        <v>On Time</v>
      </c>
      <c r="AO16" s="11" t="str">
        <f t="shared" si="7"/>
        <v>Platinum</v>
      </c>
      <c r="AP16" s="12" t="str">
        <f t="shared" si="14"/>
        <v>Low</v>
      </c>
      <c r="AV16" s="11" t="str">
        <f t="shared" si="8"/>
        <v>Valid Number</v>
      </c>
      <c r="AW16" s="11" t="str">
        <f t="shared" si="9"/>
        <v>Text</v>
      </c>
      <c r="AX16" s="11" t="str">
        <f t="shared" si="10"/>
        <v>Not Blank</v>
      </c>
      <c r="AY16" s="11" t="str">
        <f t="shared" si="11"/>
        <v>Valid</v>
      </c>
      <c r="AZ16" s="12" t="str">
        <f t="shared" si="12"/>
        <v>Returned Order</v>
      </c>
      <c r="BA16" s="11" t="str">
        <f t="shared" si="13"/>
        <v>Low Risk</v>
      </c>
      <c r="BB16" s="12" t="str">
        <f>_xlfn.LET(_xlpm.Category,_xlfn.XLOOKUP(I15,[1]Products_Lookup!A:A,[1]Products_Lookup!B:B,"Not Found"),IF(AND(_xlpm.Category="Electronics",U15&gt;4000),"High Tech Revenue",IF(AND(_xlpm.Category="Furniture",U15&gt;2000),"Premium Furniture","Standard Product")))</f>
        <v>Standard Product</v>
      </c>
    </row>
    <row r="17" spans="1:54" ht="17" x14ac:dyDescent="0.2">
      <c r="A17" s="1" t="s">
        <v>220</v>
      </c>
      <c r="B17" s="1" t="s">
        <v>221</v>
      </c>
      <c r="C17" s="1" t="s">
        <v>222</v>
      </c>
      <c r="D17" s="1" t="s">
        <v>223</v>
      </c>
      <c r="E17" s="1" t="s">
        <v>83</v>
      </c>
      <c r="F17" s="1" t="s">
        <v>99</v>
      </c>
      <c r="G17" s="1" t="s">
        <v>100</v>
      </c>
      <c r="H17" s="1" t="s">
        <v>101</v>
      </c>
      <c r="I17" s="1" t="s">
        <v>41</v>
      </c>
      <c r="J17" s="1" t="s">
        <v>42</v>
      </c>
      <c r="K17" s="1" t="s">
        <v>43</v>
      </c>
      <c r="L17" s="1" t="s">
        <v>44</v>
      </c>
      <c r="M17" s="1" t="s">
        <v>224</v>
      </c>
      <c r="N17" s="1" t="s">
        <v>225</v>
      </c>
      <c r="O17" s="1" t="s">
        <v>90</v>
      </c>
      <c r="P17" s="1" t="s">
        <v>154</v>
      </c>
      <c r="Q17" s="1">
        <v>1</v>
      </c>
      <c r="R17" s="1">
        <v>150</v>
      </c>
      <c r="S17" s="1">
        <v>5</v>
      </c>
      <c r="T17" s="1">
        <v>13.9</v>
      </c>
      <c r="U17" s="1">
        <v>156.4</v>
      </c>
      <c r="V17" s="1">
        <v>3</v>
      </c>
      <c r="W17" s="1" t="s">
        <v>49</v>
      </c>
      <c r="X17" s="1"/>
      <c r="Y17" s="1" t="s">
        <v>226</v>
      </c>
      <c r="Z17" s="1" t="s">
        <v>227</v>
      </c>
      <c r="AA17" s="1" t="s">
        <v>228</v>
      </c>
      <c r="AB17" s="1" t="s">
        <v>54</v>
      </c>
      <c r="AC17" s="1" t="s">
        <v>133</v>
      </c>
      <c r="AD17" s="1">
        <v>3</v>
      </c>
      <c r="AE17" s="1" t="s">
        <v>77</v>
      </c>
      <c r="AF17" s="1"/>
      <c r="AG17" s="1" t="s">
        <v>57</v>
      </c>
      <c r="AH17" s="11" t="str">
        <f t="shared" si="0"/>
        <v>4414</v>
      </c>
      <c r="AI17" s="11">
        <f t="shared" si="1"/>
        <v>4</v>
      </c>
      <c r="AJ17" s="11" t="str">
        <f t="shared" si="2"/>
        <v>Good</v>
      </c>
      <c r="AK17" s="11" t="str">
        <f t="shared" si="3"/>
        <v>O0016 - Coffee Machine - Jordan</v>
      </c>
      <c r="AL17" s="11">
        <f t="shared" si="4"/>
        <v>7</v>
      </c>
      <c r="AM17" s="11">
        <f t="shared" si="5"/>
        <v>9</v>
      </c>
      <c r="AN17" s="11" t="str">
        <f t="shared" si="6"/>
        <v>On Time</v>
      </c>
      <c r="AO17" s="11" t="str">
        <f t="shared" si="7"/>
        <v>Silver</v>
      </c>
      <c r="AP17" s="12" t="str">
        <f t="shared" si="14"/>
        <v>Medium</v>
      </c>
      <c r="AV17" s="11" t="str">
        <f t="shared" si="8"/>
        <v>Valid Number</v>
      </c>
      <c r="AW17" s="11" t="str">
        <f t="shared" si="9"/>
        <v>Text</v>
      </c>
      <c r="AX17" s="11" t="str">
        <f t="shared" si="10"/>
        <v>Not Blank</v>
      </c>
      <c r="AY17" s="11" t="str">
        <f t="shared" si="11"/>
        <v>Valid</v>
      </c>
      <c r="AZ17" s="12" t="str">
        <f t="shared" si="12"/>
        <v>On Time</v>
      </c>
      <c r="BA17" s="11" t="str">
        <f t="shared" si="13"/>
        <v>Unknown</v>
      </c>
      <c r="BB17" s="12" t="str">
        <f>_xlfn.LET(_xlpm.Category,_xlfn.XLOOKUP(I16,[1]Products_Lookup!A:A,[1]Products_Lookup!B:B,"Not Found"),IF(AND(_xlpm.Category="Electronics",U16&gt;4000),"High Tech Revenue",IF(AND(_xlpm.Category="Furniture",U16&gt;2000),"Premium Furniture","Standard Product")))</f>
        <v>Standard Product</v>
      </c>
    </row>
    <row r="18" spans="1:54" ht="17" x14ac:dyDescent="0.2">
      <c r="A18" s="1" t="s">
        <v>229</v>
      </c>
      <c r="B18" s="1" t="s">
        <v>230</v>
      </c>
      <c r="C18" s="1" t="s">
        <v>231</v>
      </c>
      <c r="D18" s="1" t="s">
        <v>232</v>
      </c>
      <c r="E18" s="1" t="s">
        <v>233</v>
      </c>
      <c r="F18" s="1" t="s">
        <v>62</v>
      </c>
      <c r="G18" s="1" t="s">
        <v>63</v>
      </c>
      <c r="H18" s="1" t="s">
        <v>64</v>
      </c>
      <c r="I18" s="1" t="s">
        <v>102</v>
      </c>
      <c r="J18" s="1" t="s">
        <v>103</v>
      </c>
      <c r="K18" s="1" t="s">
        <v>104</v>
      </c>
      <c r="L18" s="1" t="s">
        <v>105</v>
      </c>
      <c r="M18" s="1" t="s">
        <v>234</v>
      </c>
      <c r="N18" s="1" t="s">
        <v>235</v>
      </c>
      <c r="O18" s="1" t="s">
        <v>47</v>
      </c>
      <c r="P18" s="1" t="s">
        <v>109</v>
      </c>
      <c r="Q18" s="1">
        <v>10</v>
      </c>
      <c r="R18" s="1">
        <v>900</v>
      </c>
      <c r="S18" s="1">
        <v>15</v>
      </c>
      <c r="T18" s="1">
        <v>5.23</v>
      </c>
      <c r="U18" s="1">
        <v>7655.23</v>
      </c>
      <c r="V18" s="1">
        <v>1</v>
      </c>
      <c r="W18" s="1" t="s">
        <v>94</v>
      </c>
      <c r="X18" s="1"/>
      <c r="Y18" s="1" t="s">
        <v>236</v>
      </c>
      <c r="Z18" s="1" t="s">
        <v>237</v>
      </c>
      <c r="AA18" s="1" t="s">
        <v>238</v>
      </c>
      <c r="AB18" s="1" t="s">
        <v>835</v>
      </c>
      <c r="AC18" s="1" t="s">
        <v>133</v>
      </c>
      <c r="AD18" s="1">
        <v>3</v>
      </c>
      <c r="AE18" s="1" t="s">
        <v>77</v>
      </c>
      <c r="AF18" s="1" t="s">
        <v>113</v>
      </c>
      <c r="AG18" s="1" t="s">
        <v>78</v>
      </c>
      <c r="AH18" s="11" t="str">
        <f t="shared" si="0"/>
        <v>9313</v>
      </c>
      <c r="AI18" s="11">
        <f t="shared" si="1"/>
        <v>4</v>
      </c>
      <c r="AJ18" s="11" t="str">
        <f t="shared" si="2"/>
        <v>Good</v>
      </c>
      <c r="AK18" s="11" t="str">
        <f t="shared" si="3"/>
        <v>O0017 - Headphones - Egypt</v>
      </c>
      <c r="AL18" s="11" t="e">
        <f t="shared" si="4"/>
        <v>#VALUE!</v>
      </c>
      <c r="AM18" s="11">
        <f t="shared" si="5"/>
        <v>1</v>
      </c>
      <c r="AN18" s="11" t="str">
        <f t="shared" si="6"/>
        <v>Late</v>
      </c>
      <c r="AO18" s="11" t="str">
        <f t="shared" si="7"/>
        <v>Bronze</v>
      </c>
      <c r="AP18" s="12" t="str">
        <f t="shared" si="14"/>
        <v>Medium</v>
      </c>
      <c r="AV18" s="11" t="str">
        <f t="shared" si="8"/>
        <v>Valid Number</v>
      </c>
      <c r="AW18" s="11" t="str">
        <f t="shared" si="9"/>
        <v>Text</v>
      </c>
      <c r="AX18" s="11" t="str">
        <f t="shared" si="10"/>
        <v>Not Blank</v>
      </c>
      <c r="AY18" s="11" t="str">
        <f t="shared" si="11"/>
        <v>Invalid Email</v>
      </c>
      <c r="AZ18" s="12" t="str">
        <f t="shared" si="12"/>
        <v>Returned Order</v>
      </c>
      <c r="BA18" s="11" t="str">
        <f t="shared" si="13"/>
        <v>Medium Risk</v>
      </c>
      <c r="BB18" s="12" t="str">
        <f>_xlfn.LET(_xlpm.Category,_xlfn.XLOOKUP(I17,[1]Products_Lookup!A:A,[1]Products_Lookup!B:B,"Not Found"),IF(AND(_xlpm.Category="Electronics",U17&gt;4000),"High Tech Revenue",IF(AND(_xlpm.Category="Furniture",U17&gt;2000),"Premium Furniture","Standard Product")))</f>
        <v>Standard Product</v>
      </c>
    </row>
    <row r="19" spans="1:54" ht="17" x14ac:dyDescent="0.2">
      <c r="A19" s="1" t="s">
        <v>239</v>
      </c>
      <c r="B19" s="1" t="s">
        <v>240</v>
      </c>
      <c r="C19" s="1" t="s">
        <v>241</v>
      </c>
      <c r="D19" s="1" t="s">
        <v>242</v>
      </c>
      <c r="E19" s="1" t="s">
        <v>243</v>
      </c>
      <c r="F19" s="1" t="s">
        <v>38</v>
      </c>
      <c r="G19" s="1" t="s">
        <v>39</v>
      </c>
      <c r="H19" s="1" t="s">
        <v>40</v>
      </c>
      <c r="I19" s="1" t="s">
        <v>41</v>
      </c>
      <c r="J19" s="1" t="s">
        <v>42</v>
      </c>
      <c r="K19" s="1" t="s">
        <v>43</v>
      </c>
      <c r="L19" s="1" t="s">
        <v>44</v>
      </c>
      <c r="M19" s="1" t="s">
        <v>244</v>
      </c>
      <c r="N19" s="1" t="s">
        <v>245</v>
      </c>
      <c r="O19" s="1" t="s">
        <v>108</v>
      </c>
      <c r="P19" s="1" t="s">
        <v>154</v>
      </c>
      <c r="Q19" s="1">
        <v>5</v>
      </c>
      <c r="R19" s="1">
        <v>150</v>
      </c>
      <c r="S19" s="1">
        <v>0</v>
      </c>
      <c r="T19" s="1">
        <v>19.829999999999998</v>
      </c>
      <c r="U19" s="1">
        <v>769.83</v>
      </c>
      <c r="V19" s="1">
        <v>3</v>
      </c>
      <c r="W19" s="1" t="s">
        <v>72</v>
      </c>
      <c r="X19" s="1" t="s">
        <v>73</v>
      </c>
      <c r="Y19" s="1" t="s">
        <v>129</v>
      </c>
      <c r="Z19" s="1" t="s">
        <v>246</v>
      </c>
      <c r="AA19" s="1" t="s">
        <v>247</v>
      </c>
      <c r="AB19" s="1" t="s">
        <v>54</v>
      </c>
      <c r="AC19" s="1" t="s">
        <v>55</v>
      </c>
      <c r="AD19" s="1">
        <v>4</v>
      </c>
      <c r="AE19" s="1" t="s">
        <v>56</v>
      </c>
      <c r="AF19" s="1" t="e">
        <v>#N/A</v>
      </c>
      <c r="AG19" s="1" t="s">
        <v>78</v>
      </c>
      <c r="AH19" s="11" t="str">
        <f t="shared" si="0"/>
        <v>4314</v>
      </c>
      <c r="AI19" s="11">
        <f t="shared" si="1"/>
        <v>17</v>
      </c>
      <c r="AJ19" s="11" t="str">
        <f t="shared" si="2"/>
        <v>Late delivery</v>
      </c>
      <c r="AK19" s="11" t="str">
        <f t="shared" si="3"/>
        <v>O0018 - Phone - Saudi Arabia</v>
      </c>
      <c r="AL19" s="11">
        <f t="shared" si="4"/>
        <v>8</v>
      </c>
      <c r="AM19" s="11">
        <f t="shared" si="5"/>
        <v>10</v>
      </c>
      <c r="AN19" s="11" t="str">
        <f t="shared" si="6"/>
        <v>On Time</v>
      </c>
      <c r="AO19" s="11" t="str">
        <f t="shared" si="7"/>
        <v>Platinum</v>
      </c>
      <c r="AP19" s="12" t="str">
        <f t="shared" si="14"/>
        <v>Low</v>
      </c>
      <c r="AV19" s="11" t="str">
        <f t="shared" si="8"/>
        <v>Valid Number</v>
      </c>
      <c r="AW19" s="11" t="str">
        <f t="shared" si="9"/>
        <v>Text</v>
      </c>
      <c r="AX19" s="11" t="str">
        <f t="shared" si="10"/>
        <v>Not Blank</v>
      </c>
      <c r="AY19" s="11" t="str">
        <f t="shared" si="11"/>
        <v>Needs Cleaning</v>
      </c>
      <c r="AZ19" s="12" t="str">
        <f t="shared" si="12"/>
        <v>On Time</v>
      </c>
      <c r="BA19" s="11" t="str">
        <f t="shared" si="13"/>
        <v>Unknown</v>
      </c>
      <c r="BB19" s="12" t="str">
        <f>_xlfn.LET(_xlpm.Category,_xlfn.XLOOKUP(I18,[1]Products_Lookup!A:A,[1]Products_Lookup!B:B,"Not Found"),IF(AND(_xlpm.Category="Electronics",U18&gt;4000),"High Tech Revenue",IF(AND(_xlpm.Category="Furniture",U18&gt;2000),"Premium Furniture","Standard Product")))</f>
        <v>Standard Product</v>
      </c>
    </row>
    <row r="20" spans="1:54" ht="17" x14ac:dyDescent="0.2">
      <c r="A20" s="1" t="s">
        <v>248</v>
      </c>
      <c r="B20" s="1" t="s">
        <v>249</v>
      </c>
      <c r="C20" s="1" t="s">
        <v>250</v>
      </c>
      <c r="D20" s="1" t="s">
        <v>251</v>
      </c>
      <c r="E20" s="1" t="s">
        <v>252</v>
      </c>
      <c r="F20" s="1" t="s">
        <v>99</v>
      </c>
      <c r="G20" s="1" t="s">
        <v>100</v>
      </c>
      <c r="H20" s="1" t="s">
        <v>101</v>
      </c>
      <c r="I20" s="1" t="s">
        <v>65</v>
      </c>
      <c r="J20" s="1" t="s">
        <v>66</v>
      </c>
      <c r="K20" s="1" t="s">
        <v>67</v>
      </c>
      <c r="L20" s="1" t="s">
        <v>68</v>
      </c>
      <c r="M20" s="1" t="s">
        <v>253</v>
      </c>
      <c r="N20" s="1" t="s">
        <v>199</v>
      </c>
      <c r="O20" s="1" t="s">
        <v>108</v>
      </c>
      <c r="P20" s="1" t="s">
        <v>48</v>
      </c>
      <c r="Q20" s="1" t="s">
        <v>37</v>
      </c>
      <c r="R20" s="1">
        <v>220</v>
      </c>
      <c r="S20" s="1">
        <v>20</v>
      </c>
      <c r="T20" s="1">
        <v>15.43</v>
      </c>
      <c r="U20" s="1">
        <v>1423.43</v>
      </c>
      <c r="V20" s="1">
        <v>1</v>
      </c>
      <c r="W20" s="1" t="s">
        <v>94</v>
      </c>
      <c r="X20" s="1" t="s">
        <v>141</v>
      </c>
      <c r="Y20" s="1" t="s">
        <v>254</v>
      </c>
      <c r="Z20" s="1" t="s">
        <v>255</v>
      </c>
      <c r="AA20" s="1" t="s">
        <v>256</v>
      </c>
      <c r="AB20" s="1"/>
      <c r="AC20" s="1" t="s">
        <v>55</v>
      </c>
      <c r="AD20" s="1">
        <v>4</v>
      </c>
      <c r="AE20" s="1" t="s">
        <v>56</v>
      </c>
      <c r="AF20" s="1" t="e">
        <v>#VALUE!</v>
      </c>
      <c r="AG20" s="1" t="s">
        <v>78</v>
      </c>
      <c r="AH20" s="11" t="str">
        <f t="shared" si="0"/>
        <v>2543</v>
      </c>
      <c r="AI20" s="11">
        <f t="shared" si="1"/>
        <v>4</v>
      </c>
      <c r="AJ20" s="11" t="str">
        <f t="shared" si="2"/>
        <v>Good</v>
      </c>
      <c r="AK20" s="11" t="str">
        <f t="shared" si="3"/>
        <v>O0019 - Headphones - Jordan</v>
      </c>
      <c r="AL20" s="11">
        <f t="shared" si="4"/>
        <v>7</v>
      </c>
      <c r="AM20" s="11">
        <f t="shared" si="5"/>
        <v>5</v>
      </c>
      <c r="AN20" s="11" t="str">
        <f t="shared" si="6"/>
        <v>Late</v>
      </c>
      <c r="AO20" s="11" t="str">
        <f t="shared" si="7"/>
        <v>Bronze</v>
      </c>
      <c r="AP20" s="12" t="str">
        <f t="shared" si="14"/>
        <v>Low</v>
      </c>
      <c r="AV20" s="11" t="str">
        <f t="shared" si="8"/>
        <v>Valid Number</v>
      </c>
      <c r="AW20" s="11" t="str">
        <f t="shared" si="9"/>
        <v>Text</v>
      </c>
      <c r="AX20" s="11" t="str">
        <f t="shared" si="10"/>
        <v>Not Blank</v>
      </c>
      <c r="AY20" s="11" t="str">
        <f t="shared" si="11"/>
        <v>Valid</v>
      </c>
      <c r="AZ20" s="12" t="str">
        <f t="shared" si="12"/>
        <v>Late</v>
      </c>
      <c r="BA20" s="11" t="str">
        <f t="shared" si="13"/>
        <v>Medium Risk</v>
      </c>
      <c r="BB20" s="12" t="str">
        <f>_xlfn.LET(_xlpm.Category,_xlfn.XLOOKUP(I19,[1]Products_Lookup!A:A,[1]Products_Lookup!B:B,"Not Found"),IF(AND(_xlpm.Category="Electronics",U19&gt;4000),"High Tech Revenue",IF(AND(_xlpm.Category="Furniture",U19&gt;2000),"Premium Furniture","Standard Product")))</f>
        <v>Standard Product</v>
      </c>
    </row>
    <row r="21" spans="1:54" ht="17" x14ac:dyDescent="0.2">
      <c r="A21" s="1" t="s">
        <v>257</v>
      </c>
      <c r="B21" s="1" t="s">
        <v>258</v>
      </c>
      <c r="C21" s="1" t="s">
        <v>259</v>
      </c>
      <c r="D21" s="1" t="s">
        <v>260</v>
      </c>
      <c r="E21" s="1" t="s">
        <v>83</v>
      </c>
      <c r="F21" s="1" t="s">
        <v>138</v>
      </c>
      <c r="G21" s="1" t="s">
        <v>139</v>
      </c>
      <c r="H21" s="1" t="s">
        <v>64</v>
      </c>
      <c r="I21" s="1" t="s">
        <v>65</v>
      </c>
      <c r="J21" s="1" t="s">
        <v>66</v>
      </c>
      <c r="K21" s="1" t="s">
        <v>67</v>
      </c>
      <c r="L21" s="1" t="s">
        <v>68</v>
      </c>
      <c r="M21" s="1" t="s">
        <v>261</v>
      </c>
      <c r="N21" s="1" t="s">
        <v>262</v>
      </c>
      <c r="O21" s="1" t="s">
        <v>108</v>
      </c>
      <c r="P21" s="1" t="s">
        <v>109</v>
      </c>
      <c r="Q21" s="1" t="s">
        <v>37</v>
      </c>
      <c r="R21" s="1">
        <v>220</v>
      </c>
      <c r="S21" s="1">
        <v>20</v>
      </c>
      <c r="T21" s="1">
        <v>5.0999999999999996</v>
      </c>
      <c r="U21" s="1">
        <v>1413.1</v>
      </c>
      <c r="V21" s="1">
        <v>2</v>
      </c>
      <c r="W21" s="1" t="s">
        <v>72</v>
      </c>
      <c r="X21" s="1" t="s">
        <v>141</v>
      </c>
      <c r="Y21" s="1" t="s">
        <v>226</v>
      </c>
      <c r="Z21" s="1" t="s">
        <v>263</v>
      </c>
      <c r="AA21" s="1" t="s">
        <v>264</v>
      </c>
      <c r="AB21" s="1" t="s">
        <v>192</v>
      </c>
      <c r="AC21" s="1" t="s">
        <v>55</v>
      </c>
      <c r="AD21" s="1">
        <v>3</v>
      </c>
      <c r="AE21" s="1" t="s">
        <v>94</v>
      </c>
      <c r="AF21" s="1" t="s">
        <v>113</v>
      </c>
      <c r="AG21" s="1" t="s">
        <v>57</v>
      </c>
      <c r="AH21" s="11" t="str">
        <f t="shared" si="0"/>
        <v>9799</v>
      </c>
      <c r="AI21" s="11">
        <f t="shared" si="1"/>
        <v>0</v>
      </c>
      <c r="AJ21" s="11" t="str">
        <f t="shared" si="2"/>
        <v/>
      </c>
      <c r="AK21" s="11" t="str">
        <f t="shared" si="3"/>
        <v>O0020 - Desk Chair - Egypt</v>
      </c>
      <c r="AL21" s="11">
        <f t="shared" si="4"/>
        <v>8</v>
      </c>
      <c r="AM21" s="11" t="e">
        <f t="shared" si="5"/>
        <v>#VALUE!</v>
      </c>
      <c r="AN21" s="11" t="str">
        <f t="shared" si="6"/>
        <v>Late</v>
      </c>
      <c r="AO21" s="11" t="str">
        <f t="shared" si="7"/>
        <v>Silver</v>
      </c>
      <c r="AP21" s="12" t="str">
        <f t="shared" si="14"/>
        <v>Medium</v>
      </c>
      <c r="AV21" s="11" t="str">
        <f t="shared" si="8"/>
        <v>Not Numeric</v>
      </c>
      <c r="AW21" s="11" t="str">
        <f t="shared" si="9"/>
        <v>Not Text</v>
      </c>
      <c r="AX21" s="11" t="str">
        <f t="shared" si="10"/>
        <v>Not Blank</v>
      </c>
      <c r="AY21" s="11" t="str">
        <f t="shared" si="11"/>
        <v>Needs Cleaning</v>
      </c>
      <c r="AZ21" s="12" t="str">
        <f t="shared" si="12"/>
        <v>Late</v>
      </c>
      <c r="BA21" s="11" t="str">
        <f t="shared" si="13"/>
        <v>Unknown</v>
      </c>
      <c r="BB21" s="12" t="str">
        <f>_xlfn.LET(_xlpm.Category,_xlfn.XLOOKUP(I20,[1]Products_Lookup!A:A,[1]Products_Lookup!B:B,"Not Found"),IF(AND(_xlpm.Category="Electronics",U20&gt;4000),"High Tech Revenue",IF(AND(_xlpm.Category="Furniture",U20&gt;2000),"Premium Furniture","Standard Product")))</f>
        <v>Standard Product</v>
      </c>
    </row>
    <row r="22" spans="1:54" ht="17" x14ac:dyDescent="0.2">
      <c r="A22" s="1" t="s">
        <v>265</v>
      </c>
      <c r="B22" s="1" t="s">
        <v>266</v>
      </c>
      <c r="C22" s="1" t="s">
        <v>267</v>
      </c>
      <c r="D22" s="1" t="s">
        <v>268</v>
      </c>
      <c r="E22" s="1" t="s">
        <v>83</v>
      </c>
      <c r="F22" s="1" t="s">
        <v>38</v>
      </c>
      <c r="G22" s="1" t="s">
        <v>39</v>
      </c>
      <c r="H22" s="1" t="s">
        <v>40</v>
      </c>
      <c r="I22" s="1" t="s">
        <v>41</v>
      </c>
      <c r="J22" s="1" t="s">
        <v>42</v>
      </c>
      <c r="K22" s="1" t="s">
        <v>43</v>
      </c>
      <c r="L22" s="1" t="s">
        <v>44</v>
      </c>
      <c r="M22" s="1" t="s">
        <v>199</v>
      </c>
      <c r="N22" s="1" t="s">
        <v>224</v>
      </c>
      <c r="O22" s="1" t="s">
        <v>71</v>
      </c>
      <c r="P22" s="1" t="s">
        <v>48</v>
      </c>
      <c r="Q22" s="1">
        <v>7</v>
      </c>
      <c r="R22" s="1">
        <v>150</v>
      </c>
      <c r="S22" s="1">
        <v>5</v>
      </c>
      <c r="T22" s="1">
        <v>11.4</v>
      </c>
      <c r="U22" s="1">
        <v>1008.9</v>
      </c>
      <c r="V22" s="1">
        <v>4</v>
      </c>
      <c r="W22" s="1" t="s">
        <v>72</v>
      </c>
      <c r="X22" s="1"/>
      <c r="Y22" s="1" t="s">
        <v>269</v>
      </c>
      <c r="Z22" s="1" t="s">
        <v>270</v>
      </c>
      <c r="AA22" s="1" t="s">
        <v>271</v>
      </c>
      <c r="AB22" s="1"/>
      <c r="AC22" s="1" t="s">
        <v>133</v>
      </c>
      <c r="AD22" s="1">
        <v>3</v>
      </c>
      <c r="AE22" s="1" t="s">
        <v>77</v>
      </c>
      <c r="AF22" s="1"/>
      <c r="AG22" s="1"/>
      <c r="AH22" s="11" t="str">
        <f t="shared" si="0"/>
        <v>9454</v>
      </c>
      <c r="AI22" s="11">
        <f t="shared" si="1"/>
        <v>15</v>
      </c>
      <c r="AJ22" s="11" t="str">
        <f t="shared" si="2"/>
        <v>Late delivery</v>
      </c>
      <c r="AK22" s="11" t="str">
        <f t="shared" si="3"/>
        <v>O0021 - Desk Chair - UAE</v>
      </c>
      <c r="AL22" s="11">
        <f t="shared" si="4"/>
        <v>7</v>
      </c>
      <c r="AM22" s="11" t="e">
        <f t="shared" si="5"/>
        <v>#VALUE!</v>
      </c>
      <c r="AN22" s="11" t="str">
        <f t="shared" si="6"/>
        <v>On Time</v>
      </c>
      <c r="AO22" s="11" t="str">
        <f t="shared" si="7"/>
        <v>Silver</v>
      </c>
      <c r="AP22" s="12" t="str">
        <f t="shared" si="14"/>
        <v>Medium</v>
      </c>
      <c r="AV22" s="11" t="str">
        <f t="shared" si="8"/>
        <v>Not Numeric</v>
      </c>
      <c r="AW22" s="11" t="str">
        <f t="shared" si="9"/>
        <v>Text</v>
      </c>
      <c r="AX22" s="11" t="str">
        <f t="shared" si="10"/>
        <v>Not Blank</v>
      </c>
      <c r="AY22" s="11" t="str">
        <f t="shared" si="11"/>
        <v>Valid</v>
      </c>
      <c r="AZ22" s="12" t="str">
        <f t="shared" si="12"/>
        <v>On Time</v>
      </c>
      <c r="BA22" s="11" t="str">
        <f t="shared" si="13"/>
        <v>Unknown</v>
      </c>
      <c r="BB22" s="12" t="str">
        <f>_xlfn.LET(_xlpm.Category,_xlfn.XLOOKUP(I21,[1]Products_Lookup!A:A,[1]Products_Lookup!B:B,"Not Found"),IF(AND(_xlpm.Category="Electronics",U21&gt;4000),"High Tech Revenue",IF(AND(_xlpm.Category="Furniture",U21&gt;2000),"Premium Furniture","Standard Product")))</f>
        <v>Standard Product</v>
      </c>
    </row>
    <row r="23" spans="1:54" ht="17" x14ac:dyDescent="0.2">
      <c r="A23" s="1" t="s">
        <v>272</v>
      </c>
      <c r="B23" s="1" t="s">
        <v>273</v>
      </c>
      <c r="C23" s="1" t="s">
        <v>274</v>
      </c>
      <c r="D23" s="1" t="s">
        <v>275</v>
      </c>
      <c r="E23" s="1" t="s">
        <v>83</v>
      </c>
      <c r="F23" s="1" t="s">
        <v>62</v>
      </c>
      <c r="G23" s="1" t="s">
        <v>63</v>
      </c>
      <c r="H23" s="1" t="s">
        <v>64</v>
      </c>
      <c r="I23" s="1" t="s">
        <v>65</v>
      </c>
      <c r="J23" s="1" t="s">
        <v>66</v>
      </c>
      <c r="K23" s="1" t="s">
        <v>67</v>
      </c>
      <c r="L23" s="1" t="s">
        <v>68</v>
      </c>
      <c r="M23" s="1" t="s">
        <v>276</v>
      </c>
      <c r="N23" s="1" t="s">
        <v>277</v>
      </c>
      <c r="O23" s="1" t="s">
        <v>90</v>
      </c>
      <c r="P23" s="1" t="s">
        <v>48</v>
      </c>
      <c r="Q23" s="1">
        <v>10</v>
      </c>
      <c r="R23" s="1">
        <v>220</v>
      </c>
      <c r="S23" s="1">
        <v>15</v>
      </c>
      <c r="T23" s="1">
        <v>17.62</v>
      </c>
      <c r="U23" s="1">
        <v>1887.62</v>
      </c>
      <c r="V23" s="1">
        <v>3</v>
      </c>
      <c r="W23" s="1" t="s">
        <v>94</v>
      </c>
      <c r="X23" s="1" t="s">
        <v>141</v>
      </c>
      <c r="Y23" s="1" t="s">
        <v>51</v>
      </c>
      <c r="Z23" s="1" t="s">
        <v>278</v>
      </c>
      <c r="AA23" s="1" t="s">
        <v>279</v>
      </c>
      <c r="AB23" s="1" t="s">
        <v>836</v>
      </c>
      <c r="AC23" s="1" t="s">
        <v>55</v>
      </c>
      <c r="AD23" s="1">
        <v>4</v>
      </c>
      <c r="AE23" s="1" t="s">
        <v>77</v>
      </c>
      <c r="AF23" s="1" t="e">
        <v>#N/A</v>
      </c>
      <c r="AG23" s="1" t="s">
        <v>57</v>
      </c>
      <c r="AH23" s="11" t="str">
        <f t="shared" si="0"/>
        <v>6903</v>
      </c>
      <c r="AI23" s="11">
        <f t="shared" si="1"/>
        <v>0</v>
      </c>
      <c r="AJ23" s="11" t="str">
        <f t="shared" si="2"/>
        <v/>
      </c>
      <c r="AK23" s="11" t="str">
        <f t="shared" si="3"/>
        <v>O0022 - Headphones - Jordan</v>
      </c>
      <c r="AL23" s="11" t="e">
        <f t="shared" si="4"/>
        <v>#VALUE!</v>
      </c>
      <c r="AM23" s="11">
        <f t="shared" si="5"/>
        <v>7</v>
      </c>
      <c r="AN23" s="11" t="str">
        <f t="shared" si="6"/>
        <v>Late</v>
      </c>
      <c r="AO23" s="11" t="str">
        <f t="shared" si="7"/>
        <v>Silver</v>
      </c>
      <c r="AP23" s="12" t="str">
        <f t="shared" si="14"/>
        <v>Low</v>
      </c>
      <c r="AV23" s="11" t="str">
        <f t="shared" si="8"/>
        <v>Valid Number</v>
      </c>
      <c r="AW23" s="11" t="str">
        <f t="shared" si="9"/>
        <v>Not Text</v>
      </c>
      <c r="AX23" s="11" t="str">
        <f t="shared" si="10"/>
        <v>Not Blank</v>
      </c>
      <c r="AY23" s="11" t="str">
        <f t="shared" si="11"/>
        <v>Invalid Email</v>
      </c>
      <c r="AZ23" s="12" t="str">
        <f t="shared" si="12"/>
        <v>Late</v>
      </c>
      <c r="BA23" s="11" t="str">
        <f t="shared" si="13"/>
        <v>Low Risk</v>
      </c>
      <c r="BB23" s="12" t="str">
        <f>_xlfn.LET(_xlpm.Category,_xlfn.XLOOKUP(I22,[1]Products_Lookup!A:A,[1]Products_Lookup!B:B,"Not Found"),IF(AND(_xlpm.Category="Electronics",U22&gt;4000),"High Tech Revenue",IF(AND(_xlpm.Category="Furniture",U22&gt;2000),"Premium Furniture","Standard Product")))</f>
        <v>Standard Product</v>
      </c>
    </row>
    <row r="24" spans="1:54" ht="17" x14ac:dyDescent="0.2">
      <c r="A24" s="1" t="s">
        <v>280</v>
      </c>
      <c r="B24" s="1" t="s">
        <v>281</v>
      </c>
      <c r="C24" s="1" t="s">
        <v>282</v>
      </c>
      <c r="D24" s="1" t="s">
        <v>283</v>
      </c>
      <c r="E24" s="1" t="s">
        <v>83</v>
      </c>
      <c r="F24" s="1" t="s">
        <v>62</v>
      </c>
      <c r="G24" s="1" t="s">
        <v>63</v>
      </c>
      <c r="H24" s="1" t="s">
        <v>64</v>
      </c>
      <c r="I24" s="1" t="s">
        <v>65</v>
      </c>
      <c r="J24" s="1" t="s">
        <v>66</v>
      </c>
      <c r="K24" s="1" t="s">
        <v>67</v>
      </c>
      <c r="L24" s="1" t="s">
        <v>68</v>
      </c>
      <c r="M24" s="1" t="s">
        <v>284</v>
      </c>
      <c r="N24" s="1" t="s">
        <v>285</v>
      </c>
      <c r="O24" s="1" t="s">
        <v>47</v>
      </c>
      <c r="P24" s="1" t="s">
        <v>48</v>
      </c>
      <c r="Q24" s="1">
        <v>7</v>
      </c>
      <c r="R24" s="1">
        <v>220</v>
      </c>
      <c r="S24" s="1">
        <v>5</v>
      </c>
      <c r="T24" s="1">
        <v>15.82</v>
      </c>
      <c r="U24" s="1">
        <v>1478.82</v>
      </c>
      <c r="V24" s="1"/>
      <c r="W24" s="1" t="s">
        <v>49</v>
      </c>
      <c r="X24" s="1" t="s">
        <v>73</v>
      </c>
      <c r="Y24" s="1" t="s">
        <v>200</v>
      </c>
      <c r="Z24" s="1" t="s">
        <v>286</v>
      </c>
      <c r="AA24" s="1" t="s">
        <v>287</v>
      </c>
      <c r="AB24" s="1" t="s">
        <v>192</v>
      </c>
      <c r="AC24" s="1" t="s">
        <v>133</v>
      </c>
      <c r="AD24" s="1">
        <v>3</v>
      </c>
      <c r="AE24" s="1" t="s">
        <v>77</v>
      </c>
      <c r="AF24" s="1" t="e">
        <v>#N/A</v>
      </c>
      <c r="AG24" s="1"/>
      <c r="AH24" s="11" t="str">
        <f t="shared" si="0"/>
        <v>9873</v>
      </c>
      <c r="AI24" s="11">
        <f t="shared" si="1"/>
        <v>21</v>
      </c>
      <c r="AJ24" s="11" t="str">
        <f t="shared" si="2"/>
        <v>Excellent service</v>
      </c>
      <c r="AK24" s="11" t="str">
        <f t="shared" si="3"/>
        <v>O0023 - Desk Chair - Saudi Arabia</v>
      </c>
      <c r="AL24" s="11">
        <f t="shared" si="4"/>
        <v>8</v>
      </c>
      <c r="AM24" s="11">
        <f t="shared" si="5"/>
        <v>10</v>
      </c>
      <c r="AN24" s="11" t="str">
        <f t="shared" si="6"/>
        <v>Late</v>
      </c>
      <c r="AO24" s="11" t="str">
        <f t="shared" si="7"/>
        <v>Silver</v>
      </c>
      <c r="AP24" s="12" t="str">
        <f t="shared" si="14"/>
        <v>Medium</v>
      </c>
      <c r="AV24" s="11" t="str">
        <f t="shared" si="8"/>
        <v>Valid Number</v>
      </c>
      <c r="AW24" s="11" t="str">
        <f t="shared" si="9"/>
        <v>Text</v>
      </c>
      <c r="AX24" s="11" t="str">
        <f t="shared" si="10"/>
        <v>Blank</v>
      </c>
      <c r="AY24" s="11" t="str">
        <f t="shared" si="11"/>
        <v>Needs Cleaning</v>
      </c>
      <c r="AZ24" s="12" t="str">
        <f t="shared" si="12"/>
        <v>Late</v>
      </c>
      <c r="BA24" s="11" t="str">
        <f t="shared" si="13"/>
        <v>Medium Risk</v>
      </c>
      <c r="BB24" s="12" t="str">
        <f>_xlfn.LET(_xlpm.Category,_xlfn.XLOOKUP(I23,[1]Products_Lookup!A:A,[1]Products_Lookup!B:B,"Not Found"),IF(AND(_xlpm.Category="Electronics",U23&gt;4000),"High Tech Revenue",IF(AND(_xlpm.Category="Furniture",U23&gt;2000),"Premium Furniture","Standard Product")))</f>
        <v>Standard Product</v>
      </c>
    </row>
    <row r="25" spans="1:54" ht="17" x14ac:dyDescent="0.2">
      <c r="A25" s="1" t="s">
        <v>288</v>
      </c>
      <c r="B25" s="1" t="s">
        <v>289</v>
      </c>
      <c r="C25" s="1" t="s">
        <v>290</v>
      </c>
      <c r="D25" s="1" t="s">
        <v>867</v>
      </c>
      <c r="E25" s="1" t="s">
        <v>37</v>
      </c>
      <c r="F25" s="1" t="s">
        <v>99</v>
      </c>
      <c r="G25" s="1" t="s">
        <v>100</v>
      </c>
      <c r="H25" s="1" t="s">
        <v>101</v>
      </c>
      <c r="I25" s="1" t="s">
        <v>102</v>
      </c>
      <c r="J25" s="1" t="s">
        <v>103</v>
      </c>
      <c r="K25" s="1" t="s">
        <v>104</v>
      </c>
      <c r="L25" s="1" t="s">
        <v>105</v>
      </c>
      <c r="M25" s="1" t="s">
        <v>291</v>
      </c>
      <c r="N25" s="1" t="s">
        <v>292</v>
      </c>
      <c r="O25" s="1" t="s">
        <v>47</v>
      </c>
      <c r="P25" s="1" t="s">
        <v>154</v>
      </c>
      <c r="Q25" s="1">
        <v>3</v>
      </c>
      <c r="R25" s="1">
        <v>900</v>
      </c>
      <c r="S25" s="1">
        <v>15</v>
      </c>
      <c r="T25" s="1">
        <v>8.01</v>
      </c>
      <c r="U25" s="1">
        <v>2303.0100000000002</v>
      </c>
      <c r="V25" s="1"/>
      <c r="W25" s="1" t="s">
        <v>49</v>
      </c>
      <c r="X25" s="1" t="s">
        <v>141</v>
      </c>
      <c r="Y25" s="1" t="s">
        <v>51</v>
      </c>
      <c r="Z25" s="1" t="s">
        <v>293</v>
      </c>
      <c r="AA25" s="1" t="s">
        <v>294</v>
      </c>
      <c r="AB25" s="1" t="s">
        <v>837</v>
      </c>
      <c r="AC25" s="1" t="s">
        <v>55</v>
      </c>
      <c r="AD25" s="1">
        <v>2</v>
      </c>
      <c r="AE25" s="1" t="s">
        <v>77</v>
      </c>
      <c r="AF25" s="1" t="e">
        <v>#VALUE!</v>
      </c>
      <c r="AG25" s="1" t="s">
        <v>78</v>
      </c>
      <c r="AH25" s="11" t="str">
        <f t="shared" si="0"/>
        <v>1389</v>
      </c>
      <c r="AI25" s="11">
        <f t="shared" si="1"/>
        <v>15</v>
      </c>
      <c r="AJ25" s="11" t="str">
        <f t="shared" si="2"/>
        <v>Late delivery</v>
      </c>
      <c r="AK25" s="11" t="str">
        <f t="shared" si="3"/>
        <v>O0024 - Desk Chair - Saudi Arabia</v>
      </c>
      <c r="AL25" s="11">
        <f t="shared" si="4"/>
        <v>7</v>
      </c>
      <c r="AM25" s="11">
        <f t="shared" si="5"/>
        <v>7</v>
      </c>
      <c r="AN25" s="11" t="str">
        <f t="shared" si="6"/>
        <v>On Time</v>
      </c>
      <c r="AO25" s="11" t="str">
        <f t="shared" si="7"/>
        <v>Silver</v>
      </c>
      <c r="AP25" s="12" t="str">
        <f t="shared" si="14"/>
        <v>High</v>
      </c>
      <c r="AV25" s="11" t="str">
        <f t="shared" si="8"/>
        <v>Valid Number</v>
      </c>
      <c r="AW25" s="11" t="str">
        <f t="shared" si="9"/>
        <v>Text</v>
      </c>
      <c r="AX25" s="11" t="str">
        <f t="shared" si="10"/>
        <v>Blank</v>
      </c>
      <c r="AY25" s="11" t="str">
        <f t="shared" si="11"/>
        <v>Valid</v>
      </c>
      <c r="AZ25" s="12" t="str">
        <f t="shared" si="12"/>
        <v>Returned Order</v>
      </c>
      <c r="BA25" s="11" t="str">
        <f t="shared" si="13"/>
        <v>Unknown</v>
      </c>
      <c r="BB25" s="12" t="str">
        <f>_xlfn.LET(_xlpm.Category,_xlfn.XLOOKUP(I24,[1]Products_Lookup!A:A,[1]Products_Lookup!B:B,"Not Found"),IF(AND(_xlpm.Category="Electronics",U24&gt;4000),"High Tech Revenue",IF(AND(_xlpm.Category="Furniture",U24&gt;2000),"Premium Furniture","Standard Product")))</f>
        <v>Standard Product</v>
      </c>
    </row>
    <row r="26" spans="1:54" ht="17" x14ac:dyDescent="0.2">
      <c r="A26" s="1" t="s">
        <v>295</v>
      </c>
      <c r="B26" s="1" t="s">
        <v>296</v>
      </c>
      <c r="C26" s="1" t="s">
        <v>297</v>
      </c>
      <c r="D26" s="1" t="s">
        <v>298</v>
      </c>
      <c r="E26" s="1" t="s">
        <v>299</v>
      </c>
      <c r="F26" s="1" t="s">
        <v>138</v>
      </c>
      <c r="G26" s="1" t="s">
        <v>139</v>
      </c>
      <c r="H26" s="1" t="s">
        <v>64</v>
      </c>
      <c r="I26" s="1" t="s">
        <v>41</v>
      </c>
      <c r="J26" s="1" t="s">
        <v>42</v>
      </c>
      <c r="K26" s="1" t="s">
        <v>43</v>
      </c>
      <c r="L26" s="1" t="s">
        <v>44</v>
      </c>
      <c r="M26" s="1" t="s">
        <v>300</v>
      </c>
      <c r="N26" s="1" t="s">
        <v>301</v>
      </c>
      <c r="O26" s="1" t="s">
        <v>47</v>
      </c>
      <c r="P26" s="1" t="s">
        <v>154</v>
      </c>
      <c r="Q26" s="1" t="s">
        <v>37</v>
      </c>
      <c r="R26" s="1">
        <v>150</v>
      </c>
      <c r="S26" s="1">
        <v>20</v>
      </c>
      <c r="T26" s="1">
        <v>12.88</v>
      </c>
      <c r="U26" s="1">
        <v>852.88</v>
      </c>
      <c r="V26" s="1">
        <v>4</v>
      </c>
      <c r="W26" s="1" t="s">
        <v>94</v>
      </c>
      <c r="X26" s="1"/>
      <c r="Y26" s="1" t="s">
        <v>172</v>
      </c>
      <c r="Z26" s="1" t="s">
        <v>302</v>
      </c>
      <c r="AA26" s="1" t="s">
        <v>303</v>
      </c>
      <c r="AB26" s="1" t="s">
        <v>192</v>
      </c>
      <c r="AC26" s="1" t="s">
        <v>55</v>
      </c>
      <c r="AD26" s="1">
        <v>2</v>
      </c>
      <c r="AE26" s="1"/>
      <c r="AF26" s="1"/>
      <c r="AG26" s="1"/>
      <c r="AH26" s="11" t="str">
        <f t="shared" si="0"/>
        <v>9852</v>
      </c>
      <c r="AI26" s="11">
        <f t="shared" si="1"/>
        <v>24</v>
      </c>
      <c r="AJ26" s="11" t="str">
        <f t="shared" si="2"/>
        <v>Late delivery</v>
      </c>
      <c r="AK26" s="11" t="str">
        <f t="shared" si="3"/>
        <v>O0025 - Phone - Egypt</v>
      </c>
      <c r="AL26" s="11" t="e">
        <f t="shared" si="4"/>
        <v>#VALUE!</v>
      </c>
      <c r="AM26" s="11">
        <f t="shared" si="5"/>
        <v>3</v>
      </c>
      <c r="AN26" s="11" t="str">
        <f t="shared" si="6"/>
        <v>On Time</v>
      </c>
      <c r="AO26" s="11" t="str">
        <f t="shared" si="7"/>
        <v>Silver</v>
      </c>
      <c r="AP26" s="12" t="str">
        <f t="shared" si="14"/>
        <v>High</v>
      </c>
      <c r="AV26" s="11" t="str">
        <f t="shared" si="8"/>
        <v>Valid Number</v>
      </c>
      <c r="AW26" s="11" t="str">
        <f t="shared" si="9"/>
        <v>Text</v>
      </c>
      <c r="AX26" s="11" t="str">
        <f t="shared" si="10"/>
        <v>Not Blank</v>
      </c>
      <c r="AY26" s="11" t="str">
        <f t="shared" si="11"/>
        <v>Invalid Email</v>
      </c>
      <c r="AZ26" s="12" t="str">
        <f t="shared" si="12"/>
        <v>Returned Order</v>
      </c>
      <c r="BA26" s="11" t="str">
        <f t="shared" si="13"/>
        <v>Unknown</v>
      </c>
      <c r="BB26" s="12" t="str">
        <f>_xlfn.LET(_xlpm.Category,_xlfn.XLOOKUP(I25,[1]Products_Lookup!A:A,[1]Products_Lookup!B:B,"Not Found"),IF(AND(_xlpm.Category="Electronics",U25&gt;4000),"High Tech Revenue",IF(AND(_xlpm.Category="Furniture",U25&gt;2000),"Premium Furniture","Standard Product")))</f>
        <v>Standard Product</v>
      </c>
    </row>
    <row r="27" spans="1:54" ht="17" x14ac:dyDescent="0.2">
      <c r="A27" s="1" t="s">
        <v>304</v>
      </c>
      <c r="B27" s="1" t="s">
        <v>305</v>
      </c>
      <c r="C27" s="1" t="s">
        <v>306</v>
      </c>
      <c r="D27" s="1" t="s">
        <v>307</v>
      </c>
      <c r="E27" s="1" t="s">
        <v>308</v>
      </c>
      <c r="F27" s="1" t="s">
        <v>62</v>
      </c>
      <c r="G27" s="1" t="s">
        <v>63</v>
      </c>
      <c r="H27" s="1" t="s">
        <v>64</v>
      </c>
      <c r="I27" s="1" t="s">
        <v>84</v>
      </c>
      <c r="J27" s="1" t="s">
        <v>85</v>
      </c>
      <c r="K27" s="1" t="s">
        <v>86</v>
      </c>
      <c r="L27" s="1" t="s">
        <v>87</v>
      </c>
      <c r="M27" s="1" t="s">
        <v>235</v>
      </c>
      <c r="N27" s="1" t="s">
        <v>309</v>
      </c>
      <c r="O27" s="1" t="s">
        <v>47</v>
      </c>
      <c r="P27" s="1" t="s">
        <v>109</v>
      </c>
      <c r="Q27" s="1">
        <v>6</v>
      </c>
      <c r="R27" s="1">
        <v>340</v>
      </c>
      <c r="S27" s="1">
        <v>10</v>
      </c>
      <c r="T27" s="1">
        <v>9.74</v>
      </c>
      <c r="U27" s="1">
        <v>1845.74</v>
      </c>
      <c r="V27" s="1">
        <v>2</v>
      </c>
      <c r="W27" s="1" t="s">
        <v>49</v>
      </c>
      <c r="X27" s="1" t="s">
        <v>141</v>
      </c>
      <c r="Y27" s="1" t="s">
        <v>236</v>
      </c>
      <c r="Z27" s="1" t="s">
        <v>310</v>
      </c>
      <c r="AA27" s="1" t="s">
        <v>311</v>
      </c>
      <c r="AB27" s="1" t="s">
        <v>132</v>
      </c>
      <c r="AC27" s="1" t="s">
        <v>133</v>
      </c>
      <c r="AD27" s="1">
        <v>3</v>
      </c>
      <c r="AE27" s="1" t="s">
        <v>94</v>
      </c>
      <c r="AF27" s="1" t="e">
        <v>#N/A</v>
      </c>
      <c r="AG27" s="1" t="s">
        <v>78</v>
      </c>
      <c r="AH27" s="11" t="str">
        <f t="shared" si="0"/>
        <v>9378</v>
      </c>
      <c r="AI27" s="11">
        <f t="shared" si="1"/>
        <v>15</v>
      </c>
      <c r="AJ27" s="11" t="str">
        <f t="shared" si="2"/>
        <v>Late delivery</v>
      </c>
      <c r="AK27" s="11" t="str">
        <f t="shared" si="3"/>
        <v>O0026 - Headphones - UAE</v>
      </c>
      <c r="AL27" s="11">
        <f t="shared" si="4"/>
        <v>8</v>
      </c>
      <c r="AM27" s="11" t="e">
        <f t="shared" si="5"/>
        <v>#VALUE!</v>
      </c>
      <c r="AN27" s="11" t="str">
        <f t="shared" si="6"/>
        <v>On Time</v>
      </c>
      <c r="AO27" s="11" t="str">
        <f t="shared" si="7"/>
        <v>Bronze</v>
      </c>
      <c r="AP27" s="12" t="str">
        <f t="shared" si="14"/>
        <v>Medium</v>
      </c>
      <c r="AV27" s="11" t="str">
        <f t="shared" si="8"/>
        <v>Not Numeric</v>
      </c>
      <c r="AW27" s="11" t="str">
        <f t="shared" si="9"/>
        <v>Text</v>
      </c>
      <c r="AX27" s="11" t="str">
        <f t="shared" si="10"/>
        <v>Not Blank</v>
      </c>
      <c r="AY27" s="11" t="str">
        <f t="shared" si="11"/>
        <v>Needs Cleaning</v>
      </c>
      <c r="AZ27" s="12" t="str">
        <f t="shared" si="12"/>
        <v>On Time</v>
      </c>
      <c r="BA27" s="11" t="str">
        <f t="shared" si="13"/>
        <v>Low Risk</v>
      </c>
      <c r="BB27" s="12" t="str">
        <f>_xlfn.LET(_xlpm.Category,_xlfn.XLOOKUP(I26,[1]Products_Lookup!A:A,[1]Products_Lookup!B:B,"Not Found"),IF(AND(_xlpm.Category="Electronics",U26&gt;4000),"High Tech Revenue",IF(AND(_xlpm.Category="Furniture",U26&gt;2000),"Premium Furniture","Standard Product")))</f>
        <v>Standard Product</v>
      </c>
    </row>
    <row r="28" spans="1:54" ht="17" x14ac:dyDescent="0.2">
      <c r="A28" s="1" t="s">
        <v>312</v>
      </c>
      <c r="B28" s="1" t="s">
        <v>313</v>
      </c>
      <c r="C28" s="1" t="s">
        <v>314</v>
      </c>
      <c r="D28" s="1" t="s">
        <v>315</v>
      </c>
      <c r="E28" s="1" t="s">
        <v>83</v>
      </c>
      <c r="F28" s="1" t="s">
        <v>38</v>
      </c>
      <c r="G28" s="1" t="s">
        <v>39</v>
      </c>
      <c r="H28" s="1" t="s">
        <v>40</v>
      </c>
      <c r="I28" s="1" t="s">
        <v>84</v>
      </c>
      <c r="J28" s="1" t="s">
        <v>85</v>
      </c>
      <c r="K28" s="1" t="s">
        <v>86</v>
      </c>
      <c r="L28" s="1" t="s">
        <v>87</v>
      </c>
      <c r="M28" s="1" t="s">
        <v>316</v>
      </c>
      <c r="N28" s="1" t="s">
        <v>317</v>
      </c>
      <c r="O28" s="1" t="s">
        <v>47</v>
      </c>
      <c r="P28" s="1" t="s">
        <v>154</v>
      </c>
      <c r="Q28" s="1">
        <v>1</v>
      </c>
      <c r="R28" s="1">
        <v>340</v>
      </c>
      <c r="S28" s="1">
        <v>5</v>
      </c>
      <c r="T28" s="1">
        <v>3.27</v>
      </c>
      <c r="U28" s="1">
        <v>326.27</v>
      </c>
      <c r="V28" s="1"/>
      <c r="W28" s="1" t="s">
        <v>94</v>
      </c>
      <c r="X28" s="1" t="s">
        <v>141</v>
      </c>
      <c r="Y28" s="1" t="s">
        <v>129</v>
      </c>
      <c r="Z28" s="1" t="s">
        <v>318</v>
      </c>
      <c r="AA28" s="1" t="s">
        <v>319</v>
      </c>
      <c r="AB28" s="1"/>
      <c r="AC28" s="1" t="s">
        <v>133</v>
      </c>
      <c r="AD28" s="1">
        <v>3</v>
      </c>
      <c r="AE28" s="1" t="s">
        <v>77</v>
      </c>
      <c r="AF28" s="1" t="e">
        <v>#VALUE!</v>
      </c>
      <c r="AG28" s="1"/>
      <c r="AH28" s="11" t="str">
        <f t="shared" si="0"/>
        <v>1722</v>
      </c>
      <c r="AI28" s="11">
        <f t="shared" si="1"/>
        <v>17</v>
      </c>
      <c r="AJ28" s="11" t="str">
        <f t="shared" si="2"/>
        <v>Excellent service</v>
      </c>
      <c r="AK28" s="11" t="str">
        <f t="shared" si="3"/>
        <v>O0027 - Coffee Machine - Saudi Arabia</v>
      </c>
      <c r="AL28" s="11">
        <f t="shared" si="4"/>
        <v>7</v>
      </c>
      <c r="AM28" s="11">
        <f t="shared" si="5"/>
        <v>6</v>
      </c>
      <c r="AN28" s="11" t="str">
        <f t="shared" si="6"/>
        <v>Late</v>
      </c>
      <c r="AO28" s="11" t="str">
        <f t="shared" si="7"/>
        <v>Silver</v>
      </c>
      <c r="AP28" s="12" t="str">
        <f t="shared" si="14"/>
        <v>Medium</v>
      </c>
      <c r="AV28" s="11" t="str">
        <f t="shared" si="8"/>
        <v>Valid Number</v>
      </c>
      <c r="AW28" s="11" t="str">
        <f t="shared" si="9"/>
        <v>Text</v>
      </c>
      <c r="AX28" s="11" t="str">
        <f t="shared" si="10"/>
        <v>Blank</v>
      </c>
      <c r="AY28" s="11" t="str">
        <f t="shared" si="11"/>
        <v>Valid</v>
      </c>
      <c r="AZ28" s="12" t="str">
        <f t="shared" si="12"/>
        <v>Returned Order</v>
      </c>
      <c r="BA28" s="11" t="str">
        <f t="shared" si="13"/>
        <v>Unknown</v>
      </c>
      <c r="BB28" s="12" t="str">
        <f>_xlfn.LET(_xlpm.Category,_xlfn.XLOOKUP(I27,[1]Products_Lookup!A:A,[1]Products_Lookup!B:B,"Not Found"),IF(AND(_xlpm.Category="Electronics",U27&gt;4000),"High Tech Revenue",IF(AND(_xlpm.Category="Furniture",U27&gt;2000),"Premium Furniture","Standard Product")))</f>
        <v>Standard Product</v>
      </c>
    </row>
    <row r="29" spans="1:54" ht="17" x14ac:dyDescent="0.2">
      <c r="A29" s="1" t="s">
        <v>320</v>
      </c>
      <c r="B29" s="1" t="s">
        <v>321</v>
      </c>
      <c r="C29" s="1" t="s">
        <v>322</v>
      </c>
      <c r="D29" s="1" t="s">
        <v>323</v>
      </c>
      <c r="E29" s="1" t="s">
        <v>324</v>
      </c>
      <c r="F29" s="1" t="s">
        <v>138</v>
      </c>
      <c r="G29" s="1" t="s">
        <v>139</v>
      </c>
      <c r="H29" s="1" t="s">
        <v>64</v>
      </c>
      <c r="I29" s="1" t="s">
        <v>149</v>
      </c>
      <c r="J29" s="1" t="s">
        <v>150</v>
      </c>
      <c r="K29" s="1" t="s">
        <v>104</v>
      </c>
      <c r="L29" s="1" t="s">
        <v>151</v>
      </c>
      <c r="M29" s="1" t="s">
        <v>225</v>
      </c>
      <c r="N29" s="1" t="s">
        <v>325</v>
      </c>
      <c r="O29" s="1" t="s">
        <v>108</v>
      </c>
      <c r="P29" s="1" t="s">
        <v>154</v>
      </c>
      <c r="Q29" s="1" t="s">
        <v>37</v>
      </c>
      <c r="R29" s="1">
        <v>1200</v>
      </c>
      <c r="S29" s="1">
        <v>0</v>
      </c>
      <c r="T29" s="1">
        <v>10.15</v>
      </c>
      <c r="U29" s="1">
        <v>2410.15</v>
      </c>
      <c r="V29" s="1">
        <v>5</v>
      </c>
      <c r="W29" s="1" t="s">
        <v>94</v>
      </c>
      <c r="X29" s="1" t="s">
        <v>50</v>
      </c>
      <c r="Y29" s="1" t="s">
        <v>326</v>
      </c>
      <c r="Z29" s="1" t="s">
        <v>327</v>
      </c>
      <c r="AA29" s="1" t="s">
        <v>328</v>
      </c>
      <c r="AB29" s="1"/>
      <c r="AC29" s="1" t="s">
        <v>55</v>
      </c>
      <c r="AD29" s="1">
        <v>3</v>
      </c>
      <c r="AE29" s="1" t="s">
        <v>56</v>
      </c>
      <c r="AF29" s="1" t="s">
        <v>113</v>
      </c>
      <c r="AG29" s="1"/>
      <c r="AH29" s="11" t="str">
        <f t="shared" si="0"/>
        <v>0535</v>
      </c>
      <c r="AI29" s="11">
        <f t="shared" si="1"/>
        <v>0</v>
      </c>
      <c r="AJ29" s="11" t="str">
        <f t="shared" si="2"/>
        <v/>
      </c>
      <c r="AK29" s="11" t="str">
        <f t="shared" si="3"/>
        <v>O0028 - Coffee Machine - Jordan</v>
      </c>
      <c r="AL29" s="11" t="e">
        <f t="shared" si="4"/>
        <v>#VALUE!</v>
      </c>
      <c r="AM29" s="11">
        <f t="shared" si="5"/>
        <v>1</v>
      </c>
      <c r="AN29" s="11" t="str">
        <f t="shared" si="6"/>
        <v>Late</v>
      </c>
      <c r="AO29" s="11" t="str">
        <f t="shared" si="7"/>
        <v>Bronze</v>
      </c>
      <c r="AP29" s="12" t="str">
        <f t="shared" si="14"/>
        <v>Medium</v>
      </c>
      <c r="AV29" s="11" t="str">
        <f t="shared" si="8"/>
        <v>Valid Number</v>
      </c>
      <c r="AW29" s="11" t="str">
        <f t="shared" si="9"/>
        <v>Not Text</v>
      </c>
      <c r="AX29" s="11" t="str">
        <f t="shared" si="10"/>
        <v>Not Blank</v>
      </c>
      <c r="AY29" s="11" t="str">
        <f t="shared" si="11"/>
        <v>Invalid Email</v>
      </c>
      <c r="AZ29" s="12" t="str">
        <f t="shared" si="12"/>
        <v>Late</v>
      </c>
      <c r="BA29" s="11" t="str">
        <f t="shared" si="13"/>
        <v>Unknown</v>
      </c>
      <c r="BB29" s="12" t="str">
        <f>_xlfn.LET(_xlpm.Category,_xlfn.XLOOKUP(I28,[1]Products_Lookup!A:A,[1]Products_Lookup!B:B,"Not Found"),IF(AND(_xlpm.Category="Electronics",U28&gt;4000),"High Tech Revenue",IF(AND(_xlpm.Category="Furniture",U28&gt;2000),"Premium Furniture","Standard Product")))</f>
        <v>Standard Product</v>
      </c>
    </row>
    <row r="30" spans="1:54" ht="17" x14ac:dyDescent="0.2">
      <c r="A30" s="1" t="s">
        <v>329</v>
      </c>
      <c r="B30" s="1" t="s">
        <v>330</v>
      </c>
      <c r="C30" s="1" t="s">
        <v>331</v>
      </c>
      <c r="D30" s="1"/>
      <c r="E30" s="1" t="s">
        <v>332</v>
      </c>
      <c r="F30" s="1" t="s">
        <v>38</v>
      </c>
      <c r="G30" s="1" t="s">
        <v>39</v>
      </c>
      <c r="H30" s="1" t="s">
        <v>40</v>
      </c>
      <c r="I30" s="1" t="s">
        <v>84</v>
      </c>
      <c r="J30" s="1" t="s">
        <v>85</v>
      </c>
      <c r="K30" s="1" t="s">
        <v>86</v>
      </c>
      <c r="L30" s="1" t="s">
        <v>87</v>
      </c>
      <c r="M30" s="1" t="s">
        <v>317</v>
      </c>
      <c r="N30" s="1" t="s">
        <v>333</v>
      </c>
      <c r="O30" s="1" t="s">
        <v>71</v>
      </c>
      <c r="P30" s="1" t="s">
        <v>109</v>
      </c>
      <c r="Q30" s="1">
        <v>9</v>
      </c>
      <c r="R30" s="1">
        <v>340</v>
      </c>
      <c r="S30" s="1">
        <v>15</v>
      </c>
      <c r="T30" s="1">
        <v>5.43</v>
      </c>
      <c r="U30" s="1">
        <v>2606.4299999999998</v>
      </c>
      <c r="V30" s="1">
        <v>2</v>
      </c>
      <c r="W30" s="1" t="s">
        <v>94</v>
      </c>
      <c r="X30" s="1" t="s">
        <v>50</v>
      </c>
      <c r="Y30" s="1" t="s">
        <v>334</v>
      </c>
      <c r="Z30" s="1" t="s">
        <v>327</v>
      </c>
      <c r="AA30" s="1" t="s">
        <v>335</v>
      </c>
      <c r="AB30" s="1" t="s">
        <v>192</v>
      </c>
      <c r="AC30" s="1" t="s">
        <v>133</v>
      </c>
      <c r="AD30" s="1">
        <v>3</v>
      </c>
      <c r="AE30" s="1" t="s">
        <v>77</v>
      </c>
      <c r="AF30" s="1" t="e">
        <v>#VALUE!</v>
      </c>
      <c r="AG30" s="1" t="s">
        <v>57</v>
      </c>
      <c r="AH30" s="11" t="str">
        <f t="shared" si="0"/>
        <v>7575</v>
      </c>
      <c r="AI30" s="11">
        <f t="shared" si="1"/>
        <v>0</v>
      </c>
      <c r="AJ30" s="11" t="str">
        <f t="shared" si="2"/>
        <v/>
      </c>
      <c r="AK30" s="11" t="str">
        <f t="shared" si="3"/>
        <v>O0029 - Laptop - UAE</v>
      </c>
      <c r="AL30" s="11">
        <f t="shared" si="4"/>
        <v>7</v>
      </c>
      <c r="AM30" s="11" t="e">
        <f t="shared" si="5"/>
        <v>#VALUE!</v>
      </c>
      <c r="AN30" s="11" t="str">
        <f t="shared" si="6"/>
        <v>On Time</v>
      </c>
      <c r="AO30" s="11" t="str">
        <f t="shared" si="7"/>
        <v>Silver</v>
      </c>
      <c r="AP30" s="12" t="str">
        <f t="shared" si="14"/>
        <v>Medium</v>
      </c>
      <c r="AV30" s="11" t="str">
        <f t="shared" si="8"/>
        <v>Not Numeric</v>
      </c>
      <c r="AW30" s="11" t="str">
        <f t="shared" si="9"/>
        <v>Not Text</v>
      </c>
      <c r="AX30" s="11" t="str">
        <f t="shared" si="10"/>
        <v>Not Blank</v>
      </c>
      <c r="AY30" s="11" t="str">
        <f t="shared" si="11"/>
        <v>Valid</v>
      </c>
      <c r="AZ30" s="12" t="str">
        <f t="shared" si="12"/>
        <v>On Time</v>
      </c>
      <c r="BA30" s="11" t="str">
        <f t="shared" si="13"/>
        <v>Low Risk</v>
      </c>
      <c r="BB30" s="12" t="str">
        <f>_xlfn.LET(_xlpm.Category,_xlfn.XLOOKUP(I29,[1]Products_Lookup!A:A,[1]Products_Lookup!B:B,"Not Found"),IF(AND(_xlpm.Category="Electronics",U29&gt;4000),"High Tech Revenue",IF(AND(_xlpm.Category="Furniture",U29&gt;2000),"Premium Furniture","Standard Product")))</f>
        <v>Standard Product</v>
      </c>
    </row>
    <row r="31" spans="1:54" ht="17" x14ac:dyDescent="0.2">
      <c r="A31" s="1" t="s">
        <v>336</v>
      </c>
      <c r="B31" s="1" t="s">
        <v>337</v>
      </c>
      <c r="C31" s="1" t="s">
        <v>338</v>
      </c>
      <c r="D31" s="1" t="s">
        <v>866</v>
      </c>
      <c r="E31" s="1" t="s">
        <v>37</v>
      </c>
      <c r="F31" s="1" t="s">
        <v>38</v>
      </c>
      <c r="G31" s="1" t="s">
        <v>39</v>
      </c>
      <c r="H31" s="1" t="s">
        <v>40</v>
      </c>
      <c r="I31" s="1" t="s">
        <v>102</v>
      </c>
      <c r="J31" s="1" t="s">
        <v>103</v>
      </c>
      <c r="K31" s="1" t="s">
        <v>104</v>
      </c>
      <c r="L31" s="1" t="s">
        <v>105</v>
      </c>
      <c r="M31" s="1" t="s">
        <v>339</v>
      </c>
      <c r="N31" s="1" t="s">
        <v>340</v>
      </c>
      <c r="O31" s="1" t="s">
        <v>47</v>
      </c>
      <c r="P31" s="1" t="s">
        <v>154</v>
      </c>
      <c r="Q31" s="1" t="s">
        <v>37</v>
      </c>
      <c r="R31" s="1">
        <v>900</v>
      </c>
      <c r="S31" s="1">
        <v>15</v>
      </c>
      <c r="T31" s="1">
        <v>6.54</v>
      </c>
      <c r="U31" s="1">
        <v>4596.54</v>
      </c>
      <c r="V31" s="1">
        <v>1</v>
      </c>
      <c r="W31" s="1" t="s">
        <v>94</v>
      </c>
      <c r="X31" s="1" t="s">
        <v>50</v>
      </c>
      <c r="Y31" s="1" t="s">
        <v>334</v>
      </c>
      <c r="Z31" s="1" t="s">
        <v>341</v>
      </c>
      <c r="AA31" s="1" t="s">
        <v>342</v>
      </c>
      <c r="AB31" s="1" t="s">
        <v>192</v>
      </c>
      <c r="AC31" s="1" t="s">
        <v>133</v>
      </c>
      <c r="AD31" s="1">
        <v>3</v>
      </c>
      <c r="AE31" s="1"/>
      <c r="AF31" s="1"/>
      <c r="AG31" s="1" t="s">
        <v>57</v>
      </c>
      <c r="AH31" s="11" t="str">
        <f t="shared" si="0"/>
        <v>7478</v>
      </c>
      <c r="AI31" s="11">
        <f t="shared" si="1"/>
        <v>15</v>
      </c>
      <c r="AJ31" s="11" t="str">
        <f t="shared" si="2"/>
        <v>Late delivery</v>
      </c>
      <c r="AK31" s="11" t="str">
        <f t="shared" si="3"/>
        <v>O0030 - Coffee Machine - Jordan</v>
      </c>
      <c r="AL31" s="11" t="e">
        <f t="shared" si="4"/>
        <v>#VALUE!</v>
      </c>
      <c r="AM31" s="11">
        <f t="shared" si="5"/>
        <v>9</v>
      </c>
      <c r="AN31" s="11" t="str">
        <f t="shared" si="6"/>
        <v>On Time</v>
      </c>
      <c r="AO31" s="11" t="str">
        <f t="shared" si="7"/>
        <v>Silver</v>
      </c>
      <c r="AP31" s="12" t="str">
        <f t="shared" si="14"/>
        <v>Medium</v>
      </c>
      <c r="AV31" s="11" t="str">
        <f t="shared" si="8"/>
        <v>Valid Number</v>
      </c>
      <c r="AW31" s="11" t="str">
        <f t="shared" si="9"/>
        <v>Text</v>
      </c>
      <c r="AX31" s="11" t="str">
        <f t="shared" si="10"/>
        <v>Not Blank</v>
      </c>
      <c r="AY31" s="11" t="str">
        <f t="shared" si="11"/>
        <v>Missing Email</v>
      </c>
      <c r="AZ31" s="12" t="str">
        <f t="shared" si="12"/>
        <v>On Time</v>
      </c>
      <c r="BA31" s="11" t="str">
        <f t="shared" si="13"/>
        <v>Unknown</v>
      </c>
      <c r="BB31" s="12" t="str">
        <f>_xlfn.LET(_xlpm.Category,_xlfn.XLOOKUP(I30,[1]Products_Lookup!A:A,[1]Products_Lookup!B:B,"Not Found"),IF(AND(_xlpm.Category="Electronics",U30&gt;4000),"High Tech Revenue",IF(AND(_xlpm.Category="Furniture",U30&gt;2000),"Premium Furniture","Standard Product")))</f>
        <v>Standard Product</v>
      </c>
    </row>
    <row r="32" spans="1:54" ht="17" x14ac:dyDescent="0.2">
      <c r="A32" s="1" t="s">
        <v>343</v>
      </c>
      <c r="B32" s="1" t="s">
        <v>344</v>
      </c>
      <c r="C32" s="1" t="s">
        <v>345</v>
      </c>
      <c r="D32" s="1" t="s">
        <v>346</v>
      </c>
      <c r="E32" s="1" t="s">
        <v>37</v>
      </c>
      <c r="F32" s="1" t="s">
        <v>138</v>
      </c>
      <c r="G32" s="1" t="s">
        <v>139</v>
      </c>
      <c r="H32" s="1" t="s">
        <v>64</v>
      </c>
      <c r="I32" s="1" t="s">
        <v>65</v>
      </c>
      <c r="J32" s="1" t="s">
        <v>66</v>
      </c>
      <c r="K32" s="1" t="s">
        <v>67</v>
      </c>
      <c r="L32" s="1" t="s">
        <v>68</v>
      </c>
      <c r="M32" s="1" t="s">
        <v>347</v>
      </c>
      <c r="N32" s="1" t="s">
        <v>348</v>
      </c>
      <c r="O32" s="1" t="s">
        <v>47</v>
      </c>
      <c r="P32" s="1" t="s">
        <v>154</v>
      </c>
      <c r="Q32" s="1">
        <v>5</v>
      </c>
      <c r="R32" s="1">
        <v>220</v>
      </c>
      <c r="S32" s="1">
        <v>15</v>
      </c>
      <c r="T32" s="1">
        <v>3.7</v>
      </c>
      <c r="U32" s="1">
        <v>938.7</v>
      </c>
      <c r="V32" s="1">
        <v>2</v>
      </c>
      <c r="W32" s="1" t="s">
        <v>72</v>
      </c>
      <c r="X32" s="1" t="s">
        <v>50</v>
      </c>
      <c r="Y32" s="1" t="s">
        <v>349</v>
      </c>
      <c r="Z32" s="1" t="s">
        <v>350</v>
      </c>
      <c r="AA32" s="1" t="s">
        <v>351</v>
      </c>
      <c r="AB32" s="1" t="s">
        <v>838</v>
      </c>
      <c r="AC32" s="1" t="s">
        <v>133</v>
      </c>
      <c r="AD32" s="1">
        <v>3</v>
      </c>
      <c r="AE32" s="1" t="s">
        <v>56</v>
      </c>
      <c r="AF32" s="1"/>
      <c r="AG32" s="1"/>
      <c r="AH32" s="11" t="str">
        <f t="shared" si="0"/>
        <v>8604</v>
      </c>
      <c r="AI32" s="11">
        <f t="shared" si="1"/>
        <v>15</v>
      </c>
      <c r="AJ32" s="11" t="str">
        <f t="shared" si="2"/>
        <v>Late delivery</v>
      </c>
      <c r="AK32" s="11" t="str">
        <f t="shared" si="3"/>
        <v>O0031 - Phone - Jordan</v>
      </c>
      <c r="AL32" s="11" t="e">
        <f t="shared" si="4"/>
        <v>#VALUE!</v>
      </c>
      <c r="AM32" s="11" t="e">
        <f t="shared" si="5"/>
        <v>#VALUE!</v>
      </c>
      <c r="AN32" s="11" t="str">
        <f t="shared" si="6"/>
        <v>On Time</v>
      </c>
      <c r="AO32" s="11" t="str">
        <f t="shared" si="7"/>
        <v>Gold</v>
      </c>
      <c r="AP32" s="12" t="str">
        <f t="shared" si="14"/>
        <v>Medium</v>
      </c>
      <c r="AV32" s="11" t="str">
        <f t="shared" si="8"/>
        <v>Not Numeric</v>
      </c>
      <c r="AW32" s="11" t="str">
        <f t="shared" si="9"/>
        <v>Text</v>
      </c>
      <c r="AX32" s="11" t="str">
        <f t="shared" si="10"/>
        <v>Not Blank</v>
      </c>
      <c r="AY32" s="11" t="str">
        <f t="shared" si="11"/>
        <v>Invalid Email</v>
      </c>
      <c r="AZ32" s="12" t="str">
        <f t="shared" si="12"/>
        <v>On Time</v>
      </c>
      <c r="BA32" s="11" t="str">
        <f t="shared" si="13"/>
        <v>Unknown</v>
      </c>
      <c r="BB32" s="12" t="str">
        <f>_xlfn.LET(_xlpm.Category,_xlfn.XLOOKUP(I31,[1]Products_Lookup!A:A,[1]Products_Lookup!B:B,"Not Found"),IF(AND(_xlpm.Category="Electronics",U31&gt;4000),"High Tech Revenue",IF(AND(_xlpm.Category="Furniture",U31&gt;2000),"Premium Furniture","Standard Product")))</f>
        <v>Standard Product</v>
      </c>
    </row>
    <row r="33" spans="1:54" ht="17" x14ac:dyDescent="0.2">
      <c r="A33" s="1" t="s">
        <v>352</v>
      </c>
      <c r="B33" s="1" t="s">
        <v>353</v>
      </c>
      <c r="C33" s="1" t="s">
        <v>354</v>
      </c>
      <c r="D33" s="1" t="s">
        <v>355</v>
      </c>
      <c r="E33" s="1" t="s">
        <v>37</v>
      </c>
      <c r="F33" s="1" t="s">
        <v>138</v>
      </c>
      <c r="G33" s="1" t="s">
        <v>139</v>
      </c>
      <c r="H33" s="1" t="s">
        <v>64</v>
      </c>
      <c r="I33" s="1" t="s">
        <v>65</v>
      </c>
      <c r="J33" s="1" t="s">
        <v>66</v>
      </c>
      <c r="K33" s="1" t="s">
        <v>67</v>
      </c>
      <c r="L33" s="1" t="s">
        <v>68</v>
      </c>
      <c r="M33" s="1" t="s">
        <v>127</v>
      </c>
      <c r="N33" s="1" t="s">
        <v>128</v>
      </c>
      <c r="O33" s="1" t="s">
        <v>47</v>
      </c>
      <c r="P33" s="1" t="s">
        <v>109</v>
      </c>
      <c r="Q33" s="1">
        <v>4</v>
      </c>
      <c r="R33" s="1">
        <v>220</v>
      </c>
      <c r="S33" s="1">
        <v>15</v>
      </c>
      <c r="T33" s="1">
        <v>12.42</v>
      </c>
      <c r="U33" s="1">
        <v>760.42</v>
      </c>
      <c r="V33" s="1">
        <v>4</v>
      </c>
      <c r="W33" s="1" t="s">
        <v>94</v>
      </c>
      <c r="X33" s="1" t="s">
        <v>141</v>
      </c>
      <c r="Y33" s="1" t="s">
        <v>74</v>
      </c>
      <c r="Z33" s="1" t="s">
        <v>356</v>
      </c>
      <c r="AA33" s="1" t="s">
        <v>357</v>
      </c>
      <c r="AB33" s="1" t="s">
        <v>192</v>
      </c>
      <c r="AC33" s="1" t="s">
        <v>55</v>
      </c>
      <c r="AD33" s="1">
        <v>3</v>
      </c>
      <c r="AE33" s="1" t="s">
        <v>77</v>
      </c>
      <c r="AF33" s="1" t="e">
        <v>#VALUE!</v>
      </c>
      <c r="AG33" s="1" t="s">
        <v>57</v>
      </c>
      <c r="AH33" s="11" t="str">
        <f t="shared" si="0"/>
        <v>1239</v>
      </c>
      <c r="AI33" s="11">
        <f t="shared" si="1"/>
        <v>22</v>
      </c>
      <c r="AJ33" s="11" t="str">
        <f t="shared" si="2"/>
        <v>Excellent service</v>
      </c>
      <c r="AK33" s="11" t="str">
        <f t="shared" si="3"/>
        <v>O0032 - Desk Chair - UAE</v>
      </c>
      <c r="AL33" s="11">
        <f t="shared" si="4"/>
        <v>7</v>
      </c>
      <c r="AM33" s="11">
        <f t="shared" si="5"/>
        <v>5</v>
      </c>
      <c r="AN33" s="11" t="str">
        <f t="shared" si="6"/>
        <v>On Time</v>
      </c>
      <c r="AO33" s="11" t="str">
        <f t="shared" si="7"/>
        <v>Bronze</v>
      </c>
      <c r="AP33" s="12" t="str">
        <f t="shared" si="14"/>
        <v>Medium</v>
      </c>
      <c r="AV33" s="11" t="str">
        <f t="shared" si="8"/>
        <v>Valid Number</v>
      </c>
      <c r="AW33" s="11" t="str">
        <f t="shared" si="9"/>
        <v>Text</v>
      </c>
      <c r="AX33" s="11" t="str">
        <f t="shared" si="10"/>
        <v>Not Blank</v>
      </c>
      <c r="AY33" s="11" t="str">
        <f t="shared" si="11"/>
        <v>Valid</v>
      </c>
      <c r="AZ33" s="12" t="str">
        <f t="shared" si="12"/>
        <v>On Time</v>
      </c>
      <c r="BA33" s="11" t="str">
        <f t="shared" si="13"/>
        <v>Unknown</v>
      </c>
      <c r="BB33" s="12" t="str">
        <f>_xlfn.LET(_xlpm.Category,_xlfn.XLOOKUP(I32,[1]Products_Lookup!A:A,[1]Products_Lookup!B:B,"Not Found"),IF(AND(_xlpm.Category="Electronics",U32&gt;4000),"High Tech Revenue",IF(AND(_xlpm.Category="Furniture",U32&gt;2000),"Premium Furniture","Standard Product")))</f>
        <v>Standard Product</v>
      </c>
    </row>
    <row r="34" spans="1:54" ht="17" x14ac:dyDescent="0.2">
      <c r="A34" s="1" t="s">
        <v>358</v>
      </c>
      <c r="B34" s="1" t="s">
        <v>359</v>
      </c>
      <c r="C34" s="1" t="s">
        <v>360</v>
      </c>
      <c r="D34" s="1"/>
      <c r="E34" s="1" t="s">
        <v>37</v>
      </c>
      <c r="F34" s="1" t="s">
        <v>99</v>
      </c>
      <c r="G34" s="1" t="s">
        <v>100</v>
      </c>
      <c r="H34" s="1" t="s">
        <v>101</v>
      </c>
      <c r="I34" s="1" t="s">
        <v>84</v>
      </c>
      <c r="J34" s="1" t="s">
        <v>85</v>
      </c>
      <c r="K34" s="1" t="s">
        <v>86</v>
      </c>
      <c r="L34" s="1" t="s">
        <v>87</v>
      </c>
      <c r="M34" s="1" t="s">
        <v>180</v>
      </c>
      <c r="N34" s="1" t="s">
        <v>245</v>
      </c>
      <c r="O34" s="1" t="s">
        <v>90</v>
      </c>
      <c r="P34" s="1" t="s">
        <v>154</v>
      </c>
      <c r="Q34" s="1">
        <v>3</v>
      </c>
      <c r="R34" s="1">
        <v>340</v>
      </c>
      <c r="S34" s="1">
        <v>0</v>
      </c>
      <c r="T34" s="1">
        <v>11.45</v>
      </c>
      <c r="U34" s="1">
        <v>1031.45</v>
      </c>
      <c r="V34" s="1">
        <v>2</v>
      </c>
      <c r="W34" s="1" t="s">
        <v>94</v>
      </c>
      <c r="X34" s="1" t="s">
        <v>73</v>
      </c>
      <c r="Y34" s="1" t="s">
        <v>334</v>
      </c>
      <c r="Z34" s="1" t="s">
        <v>361</v>
      </c>
      <c r="AA34" s="1" t="s">
        <v>362</v>
      </c>
      <c r="AB34" s="1" t="s">
        <v>54</v>
      </c>
      <c r="AC34" s="1" t="s">
        <v>133</v>
      </c>
      <c r="AD34" s="1">
        <v>2</v>
      </c>
      <c r="AE34" s="1" t="s">
        <v>77</v>
      </c>
      <c r="AF34" s="1" t="e">
        <v>#VALUE!</v>
      </c>
      <c r="AG34" s="1" t="s">
        <v>57</v>
      </c>
      <c r="AH34" s="11" t="str">
        <f t="shared" si="0"/>
        <v>2995</v>
      </c>
      <c r="AI34" s="11">
        <f t="shared" si="1"/>
        <v>15</v>
      </c>
      <c r="AJ34" s="11" t="str">
        <f t="shared" si="2"/>
        <v>Late delivery</v>
      </c>
      <c r="AK34" s="11" t="str">
        <f t="shared" si="3"/>
        <v>O0033 - Desk Chair - UAE</v>
      </c>
      <c r="AL34" s="11" t="e">
        <f t="shared" si="4"/>
        <v>#VALUE!</v>
      </c>
      <c r="AM34" s="11">
        <f t="shared" si="5"/>
        <v>4</v>
      </c>
      <c r="AN34" s="11" t="str">
        <f t="shared" si="6"/>
        <v>Late</v>
      </c>
      <c r="AO34" s="11" t="str">
        <f t="shared" si="7"/>
        <v>Bronze</v>
      </c>
      <c r="AP34" s="12" t="str">
        <f t="shared" si="14"/>
        <v>High</v>
      </c>
      <c r="AV34" s="11" t="str">
        <f t="shared" si="8"/>
        <v>Valid Number</v>
      </c>
      <c r="AW34" s="11" t="str">
        <f t="shared" si="9"/>
        <v>Text</v>
      </c>
      <c r="AX34" s="11" t="str">
        <f t="shared" si="10"/>
        <v>Not Blank</v>
      </c>
      <c r="AY34" s="11" t="str">
        <f t="shared" si="11"/>
        <v>Invalid Email</v>
      </c>
      <c r="AZ34" s="12" t="str">
        <f t="shared" si="12"/>
        <v>Late</v>
      </c>
      <c r="BA34" s="11" t="str">
        <f t="shared" si="13"/>
        <v>Low Risk</v>
      </c>
      <c r="BB34" s="12" t="str">
        <f>_xlfn.LET(_xlpm.Category,_xlfn.XLOOKUP(I33,[1]Products_Lookup!A:A,[1]Products_Lookup!B:B,"Not Found"),IF(AND(_xlpm.Category="Electronics",U33&gt;4000),"High Tech Revenue",IF(AND(_xlpm.Category="Furniture",U33&gt;2000),"Premium Furniture","Standard Product")))</f>
        <v>Standard Product</v>
      </c>
    </row>
    <row r="35" spans="1:54" ht="17" x14ac:dyDescent="0.2">
      <c r="A35" s="1" t="s">
        <v>363</v>
      </c>
      <c r="B35" s="1" t="s">
        <v>364</v>
      </c>
      <c r="C35" s="1" t="s">
        <v>365</v>
      </c>
      <c r="D35" s="1" t="s">
        <v>366</v>
      </c>
      <c r="E35" s="1" t="s">
        <v>37</v>
      </c>
      <c r="F35" s="1" t="s">
        <v>62</v>
      </c>
      <c r="G35" s="1" t="s">
        <v>63</v>
      </c>
      <c r="H35" s="1" t="s">
        <v>64</v>
      </c>
      <c r="I35" s="1" t="s">
        <v>84</v>
      </c>
      <c r="J35" s="1" t="s">
        <v>85</v>
      </c>
      <c r="K35" s="1" t="s">
        <v>86</v>
      </c>
      <c r="L35" s="1" t="s">
        <v>87</v>
      </c>
      <c r="M35" s="1" t="s">
        <v>189</v>
      </c>
      <c r="N35" s="1" t="s">
        <v>107</v>
      </c>
      <c r="O35" s="1" t="s">
        <v>108</v>
      </c>
      <c r="P35" s="1" t="s">
        <v>109</v>
      </c>
      <c r="Q35" s="1">
        <v>2</v>
      </c>
      <c r="R35" s="1">
        <v>340</v>
      </c>
      <c r="S35" s="1">
        <v>15</v>
      </c>
      <c r="T35" s="1">
        <v>7.42</v>
      </c>
      <c r="U35" s="1">
        <v>585.41999999999996</v>
      </c>
      <c r="V35" s="1"/>
      <c r="W35" s="1" t="s">
        <v>49</v>
      </c>
      <c r="X35" s="1" t="s">
        <v>73</v>
      </c>
      <c r="Y35" s="1" t="s">
        <v>181</v>
      </c>
      <c r="Z35" s="1" t="s">
        <v>367</v>
      </c>
      <c r="AA35" s="1" t="s">
        <v>368</v>
      </c>
      <c r="AB35" s="1"/>
      <c r="AC35" s="1" t="s">
        <v>55</v>
      </c>
      <c r="AD35" s="1">
        <v>2</v>
      </c>
      <c r="AE35" s="1"/>
      <c r="AF35" s="1" t="e">
        <v>#VALUE!</v>
      </c>
      <c r="AG35" s="1" t="s">
        <v>78</v>
      </c>
      <c r="AH35" s="11" t="str">
        <f t="shared" si="0"/>
        <v>3267</v>
      </c>
      <c r="AI35" s="11">
        <f t="shared" si="1"/>
        <v>4</v>
      </c>
      <c r="AJ35" s="11" t="str">
        <f t="shared" si="2"/>
        <v>Good</v>
      </c>
      <c r="AK35" s="11" t="str">
        <f t="shared" si="3"/>
        <v>O0034 - Coffee Machine - Egypt</v>
      </c>
      <c r="AL35" s="11" t="e">
        <f t="shared" si="4"/>
        <v>#VALUE!</v>
      </c>
      <c r="AM35" s="11">
        <f t="shared" si="5"/>
        <v>3</v>
      </c>
      <c r="AN35" s="11" t="str">
        <f t="shared" si="6"/>
        <v>On Time</v>
      </c>
      <c r="AO35" s="11" t="str">
        <f t="shared" si="7"/>
        <v>Silver</v>
      </c>
      <c r="AP35" s="12" t="str">
        <f t="shared" si="14"/>
        <v>High</v>
      </c>
      <c r="AV35" s="11" t="str">
        <f t="shared" si="8"/>
        <v>Valid Number</v>
      </c>
      <c r="AW35" s="11" t="str">
        <f t="shared" si="9"/>
        <v>Text</v>
      </c>
      <c r="AX35" s="11" t="str">
        <f t="shared" si="10"/>
        <v>Blank</v>
      </c>
      <c r="AY35" s="11" t="str">
        <f t="shared" si="11"/>
        <v>Missing Email</v>
      </c>
      <c r="AZ35" s="12" t="str">
        <f t="shared" si="12"/>
        <v>On Time</v>
      </c>
      <c r="BA35" s="11" t="str">
        <f t="shared" si="13"/>
        <v>Unknown</v>
      </c>
      <c r="BB35" s="12" t="str">
        <f>_xlfn.LET(_xlpm.Category,_xlfn.XLOOKUP(I34,[1]Products_Lookup!A:A,[1]Products_Lookup!B:B,"Not Found"),IF(AND(_xlpm.Category="Electronics",U34&gt;4000),"High Tech Revenue",IF(AND(_xlpm.Category="Furniture",U34&gt;2000),"Premium Furniture","Standard Product")))</f>
        <v>Standard Product</v>
      </c>
    </row>
    <row r="36" spans="1:54" ht="17" x14ac:dyDescent="0.2">
      <c r="A36" s="1" t="s">
        <v>369</v>
      </c>
      <c r="B36" s="1" t="s">
        <v>370</v>
      </c>
      <c r="C36" s="1" t="s">
        <v>371</v>
      </c>
      <c r="D36" s="1" t="s">
        <v>372</v>
      </c>
      <c r="E36" s="1" t="s">
        <v>37</v>
      </c>
      <c r="F36" s="1" t="s">
        <v>38</v>
      </c>
      <c r="G36" s="1" t="s">
        <v>39</v>
      </c>
      <c r="H36" s="1" t="s">
        <v>40</v>
      </c>
      <c r="I36" s="1" t="s">
        <v>41</v>
      </c>
      <c r="J36" s="1" t="s">
        <v>42</v>
      </c>
      <c r="K36" s="1" t="s">
        <v>43</v>
      </c>
      <c r="L36" s="1" t="s">
        <v>44</v>
      </c>
      <c r="M36" s="1" t="s">
        <v>316</v>
      </c>
      <c r="N36" s="1" t="s">
        <v>373</v>
      </c>
      <c r="O36" s="1" t="s">
        <v>71</v>
      </c>
      <c r="P36" s="1" t="s">
        <v>48</v>
      </c>
      <c r="Q36" s="1">
        <v>7</v>
      </c>
      <c r="R36" s="1">
        <v>150</v>
      </c>
      <c r="S36" s="1">
        <v>10</v>
      </c>
      <c r="T36" s="1">
        <v>4.3099999999999996</v>
      </c>
      <c r="U36" s="1">
        <v>949.31</v>
      </c>
      <c r="V36" s="1"/>
      <c r="W36" s="1" t="s">
        <v>72</v>
      </c>
      <c r="X36" s="1" t="s">
        <v>73</v>
      </c>
      <c r="Y36" s="1" t="s">
        <v>129</v>
      </c>
      <c r="Z36" s="1" t="s">
        <v>374</v>
      </c>
      <c r="AA36" s="1" t="s">
        <v>375</v>
      </c>
      <c r="AB36" s="1" t="s">
        <v>132</v>
      </c>
      <c r="AC36" s="1" t="s">
        <v>55</v>
      </c>
      <c r="AD36" s="1">
        <v>3</v>
      </c>
      <c r="AE36" s="1" t="s">
        <v>94</v>
      </c>
      <c r="AF36" s="1"/>
      <c r="AG36" s="1" t="s">
        <v>78</v>
      </c>
      <c r="AH36" s="11" t="str">
        <f t="shared" si="0"/>
        <v>2384</v>
      </c>
      <c r="AI36" s="11">
        <f t="shared" si="1"/>
        <v>0</v>
      </c>
      <c r="AJ36" s="11" t="str">
        <f t="shared" si="2"/>
        <v/>
      </c>
      <c r="AK36" s="11" t="str">
        <f t="shared" si="3"/>
        <v>O0035 - Coffee Machine - Saudi Arabia</v>
      </c>
      <c r="AL36" s="11">
        <f t="shared" si="4"/>
        <v>7</v>
      </c>
      <c r="AM36" s="11">
        <f t="shared" si="5"/>
        <v>2</v>
      </c>
      <c r="AN36" s="11" t="str">
        <f t="shared" si="6"/>
        <v>On Time</v>
      </c>
      <c r="AO36" s="11" t="str">
        <f t="shared" si="7"/>
        <v>Bronze</v>
      </c>
      <c r="AP36" s="12" t="str">
        <f t="shared" si="14"/>
        <v>Medium</v>
      </c>
      <c r="AV36" s="11" t="str">
        <f t="shared" si="8"/>
        <v>Valid Number</v>
      </c>
      <c r="AW36" s="11" t="str">
        <f t="shared" si="9"/>
        <v>Not Text</v>
      </c>
      <c r="AX36" s="11" t="str">
        <f t="shared" si="10"/>
        <v>Blank</v>
      </c>
      <c r="AY36" s="11" t="str">
        <f t="shared" si="11"/>
        <v>Valid</v>
      </c>
      <c r="AZ36" s="12" t="str">
        <f t="shared" si="12"/>
        <v>Returned Order</v>
      </c>
      <c r="BA36" s="11" t="str">
        <f t="shared" si="13"/>
        <v>Unknown</v>
      </c>
      <c r="BB36" s="12" t="str">
        <f>_xlfn.LET(_xlpm.Category,_xlfn.XLOOKUP(I35,[1]Products_Lookup!A:A,[1]Products_Lookup!B:B,"Not Found"),IF(AND(_xlpm.Category="Electronics",U35&gt;4000),"High Tech Revenue",IF(AND(_xlpm.Category="Furniture",U35&gt;2000),"Premium Furniture","Standard Product")))</f>
        <v>Standard Product</v>
      </c>
    </row>
    <row r="37" spans="1:54" ht="17" x14ac:dyDescent="0.2">
      <c r="A37" s="1" t="s">
        <v>376</v>
      </c>
      <c r="B37" s="1" t="s">
        <v>377</v>
      </c>
      <c r="C37" s="1" t="s">
        <v>378</v>
      </c>
      <c r="D37" s="1" t="s">
        <v>379</v>
      </c>
      <c r="E37" s="1" t="s">
        <v>37</v>
      </c>
      <c r="F37" s="1" t="s">
        <v>138</v>
      </c>
      <c r="G37" s="1" t="s">
        <v>139</v>
      </c>
      <c r="H37" s="1" t="s">
        <v>64</v>
      </c>
      <c r="I37" s="1" t="s">
        <v>102</v>
      </c>
      <c r="J37" s="1" t="s">
        <v>103</v>
      </c>
      <c r="K37" s="1" t="s">
        <v>104</v>
      </c>
      <c r="L37" s="1" t="s">
        <v>105</v>
      </c>
      <c r="M37" s="1" t="s">
        <v>380</v>
      </c>
      <c r="N37" s="1" t="s">
        <v>381</v>
      </c>
      <c r="O37" s="1" t="s">
        <v>71</v>
      </c>
      <c r="P37" s="1" t="s">
        <v>48</v>
      </c>
      <c r="Q37" s="1" t="s">
        <v>37</v>
      </c>
      <c r="R37" s="1">
        <v>900</v>
      </c>
      <c r="S37" s="1">
        <v>15</v>
      </c>
      <c r="T37" s="1">
        <v>4.1900000000000004</v>
      </c>
      <c r="U37" s="1">
        <v>769.19</v>
      </c>
      <c r="V37" s="1">
        <v>3</v>
      </c>
      <c r="W37" s="1" t="s">
        <v>49</v>
      </c>
      <c r="X37" s="1" t="s">
        <v>50</v>
      </c>
      <c r="Y37" s="1" t="s">
        <v>120</v>
      </c>
      <c r="Z37" s="1" t="s">
        <v>382</v>
      </c>
      <c r="AA37" s="1" t="s">
        <v>383</v>
      </c>
      <c r="AB37" s="1" t="s">
        <v>192</v>
      </c>
      <c r="AC37" s="1" t="s">
        <v>55</v>
      </c>
      <c r="AD37" s="1">
        <v>2</v>
      </c>
      <c r="AE37" s="1"/>
      <c r="AF37" s="1" t="s">
        <v>113</v>
      </c>
      <c r="AG37" s="1" t="s">
        <v>57</v>
      </c>
      <c r="AH37" s="11" t="str">
        <f t="shared" si="0"/>
        <v>4221</v>
      </c>
      <c r="AI37" s="11">
        <f t="shared" si="1"/>
        <v>17</v>
      </c>
      <c r="AJ37" s="11" t="str">
        <f t="shared" si="2"/>
        <v>Excellent service</v>
      </c>
      <c r="AK37" s="11" t="str">
        <f t="shared" si="3"/>
        <v>O0036 - Headphones - Jordan</v>
      </c>
      <c r="AL37" s="11" t="e">
        <f t="shared" si="4"/>
        <v>#VALUE!</v>
      </c>
      <c r="AM37" s="11">
        <f t="shared" si="5"/>
        <v>7</v>
      </c>
      <c r="AN37" s="11" t="str">
        <f t="shared" si="6"/>
        <v>On Time</v>
      </c>
      <c r="AO37" s="11" t="str">
        <f t="shared" si="7"/>
        <v>Bronze</v>
      </c>
      <c r="AP37" s="12" t="str">
        <f t="shared" si="14"/>
        <v>High</v>
      </c>
      <c r="AV37" s="11" t="str">
        <f t="shared" si="8"/>
        <v>Valid Number</v>
      </c>
      <c r="AW37" s="11" t="str">
        <f t="shared" si="9"/>
        <v>Text</v>
      </c>
      <c r="AX37" s="11" t="str">
        <f t="shared" si="10"/>
        <v>Not Blank</v>
      </c>
      <c r="AY37" s="11" t="str">
        <f t="shared" si="11"/>
        <v>Invalid Email</v>
      </c>
      <c r="AZ37" s="12" t="str">
        <f t="shared" si="12"/>
        <v>On Time</v>
      </c>
      <c r="BA37" s="11" t="str">
        <f t="shared" si="13"/>
        <v>Unknown</v>
      </c>
      <c r="BB37" s="12" t="str">
        <f>_xlfn.LET(_xlpm.Category,_xlfn.XLOOKUP(I36,[1]Products_Lookup!A:A,[1]Products_Lookup!B:B,"Not Found"),IF(AND(_xlpm.Category="Electronics",U36&gt;4000),"High Tech Revenue",IF(AND(_xlpm.Category="Furniture",U36&gt;2000),"Premium Furniture","Standard Product")))</f>
        <v>Standard Product</v>
      </c>
    </row>
    <row r="38" spans="1:54" ht="17" x14ac:dyDescent="0.2">
      <c r="A38" s="1" t="s">
        <v>384</v>
      </c>
      <c r="B38" s="1" t="s">
        <v>385</v>
      </c>
      <c r="C38" s="1" t="s">
        <v>386</v>
      </c>
      <c r="D38" s="1" t="s">
        <v>387</v>
      </c>
      <c r="E38" s="1" t="s">
        <v>37</v>
      </c>
      <c r="F38" s="1" t="s">
        <v>38</v>
      </c>
      <c r="G38" s="1" t="s">
        <v>39</v>
      </c>
      <c r="H38" s="1" t="s">
        <v>40</v>
      </c>
      <c r="I38" s="1" t="s">
        <v>65</v>
      </c>
      <c r="J38" s="1" t="s">
        <v>66</v>
      </c>
      <c r="K38" s="1" t="s">
        <v>67</v>
      </c>
      <c r="L38" s="1" t="s">
        <v>68</v>
      </c>
      <c r="M38" s="1" t="s">
        <v>292</v>
      </c>
      <c r="N38" s="1" t="s">
        <v>388</v>
      </c>
      <c r="O38" s="1" t="s">
        <v>108</v>
      </c>
      <c r="P38" s="1" t="s">
        <v>109</v>
      </c>
      <c r="Q38" s="1">
        <v>5</v>
      </c>
      <c r="R38" s="1">
        <v>220</v>
      </c>
      <c r="S38" s="1">
        <v>20</v>
      </c>
      <c r="T38" s="1">
        <v>11.25</v>
      </c>
      <c r="U38" s="1">
        <v>891.25</v>
      </c>
      <c r="V38" s="1">
        <v>3</v>
      </c>
      <c r="W38" s="1" t="s">
        <v>94</v>
      </c>
      <c r="X38" s="1"/>
      <c r="Y38" s="1" t="s">
        <v>226</v>
      </c>
      <c r="Z38" s="1" t="s">
        <v>389</v>
      </c>
      <c r="AA38" s="1" t="s">
        <v>390</v>
      </c>
      <c r="AB38" s="1" t="s">
        <v>192</v>
      </c>
      <c r="AC38" s="1" t="s">
        <v>55</v>
      </c>
      <c r="AD38" s="1">
        <v>2</v>
      </c>
      <c r="AE38" s="1" t="s">
        <v>94</v>
      </c>
      <c r="AF38" s="1"/>
      <c r="AG38" s="1" t="s">
        <v>78</v>
      </c>
      <c r="AH38" s="11" t="str">
        <f t="shared" si="0"/>
        <v>8426</v>
      </c>
      <c r="AI38" s="11">
        <f t="shared" si="1"/>
        <v>15</v>
      </c>
      <c r="AJ38" s="11" t="str">
        <f t="shared" si="2"/>
        <v>Late delivery</v>
      </c>
      <c r="AK38" s="11" t="str">
        <f t="shared" si="3"/>
        <v>O0037 - Phone - UAE</v>
      </c>
      <c r="AL38" s="11">
        <f t="shared" si="4"/>
        <v>8</v>
      </c>
      <c r="AM38" s="11" t="e">
        <f t="shared" si="5"/>
        <v>#VALUE!</v>
      </c>
      <c r="AN38" s="11" t="str">
        <f t="shared" si="6"/>
        <v>Late</v>
      </c>
      <c r="AO38" s="11" t="str">
        <f t="shared" si="7"/>
        <v>Bronze</v>
      </c>
      <c r="AP38" s="12" t="str">
        <f t="shared" si="14"/>
        <v>High</v>
      </c>
      <c r="AV38" s="11" t="str">
        <f t="shared" si="8"/>
        <v>Not Numeric</v>
      </c>
      <c r="AW38" s="11" t="str">
        <f t="shared" si="9"/>
        <v>Text</v>
      </c>
      <c r="AX38" s="11" t="str">
        <f t="shared" si="10"/>
        <v>Not Blank</v>
      </c>
      <c r="AY38" s="11" t="str">
        <f t="shared" si="11"/>
        <v>Needs Cleaning</v>
      </c>
      <c r="AZ38" s="12" t="str">
        <f t="shared" si="12"/>
        <v>Returned Order</v>
      </c>
      <c r="BA38" s="11" t="str">
        <f t="shared" si="13"/>
        <v>Medium Risk</v>
      </c>
      <c r="BB38" s="12" t="str">
        <f>_xlfn.LET(_xlpm.Category,_xlfn.XLOOKUP(I37,[1]Products_Lookup!A:A,[1]Products_Lookup!B:B,"Not Found"),IF(AND(_xlpm.Category="Electronics",U37&gt;4000),"High Tech Revenue",IF(AND(_xlpm.Category="Furniture",U37&gt;2000),"Premium Furniture","Standard Product")))</f>
        <v>Standard Product</v>
      </c>
    </row>
    <row r="39" spans="1:54" ht="17" x14ac:dyDescent="0.2">
      <c r="A39" s="1" t="s">
        <v>391</v>
      </c>
      <c r="B39" s="1" t="s">
        <v>392</v>
      </c>
      <c r="C39" s="1" t="s">
        <v>393</v>
      </c>
      <c r="D39" s="1" t="s">
        <v>394</v>
      </c>
      <c r="E39" s="1" t="s">
        <v>395</v>
      </c>
      <c r="F39" s="1" t="s">
        <v>38</v>
      </c>
      <c r="G39" s="1" t="s">
        <v>39</v>
      </c>
      <c r="H39" s="1" t="s">
        <v>40</v>
      </c>
      <c r="I39" s="1" t="s">
        <v>102</v>
      </c>
      <c r="J39" s="1" t="s">
        <v>103</v>
      </c>
      <c r="K39" s="1" t="s">
        <v>104</v>
      </c>
      <c r="L39" s="1" t="s">
        <v>105</v>
      </c>
      <c r="M39" s="1" t="s">
        <v>396</v>
      </c>
      <c r="N39" s="1" t="s">
        <v>107</v>
      </c>
      <c r="O39" s="1" t="s">
        <v>47</v>
      </c>
      <c r="P39" s="1" t="s">
        <v>109</v>
      </c>
      <c r="Q39" s="1">
        <v>5</v>
      </c>
      <c r="R39" s="1">
        <v>900</v>
      </c>
      <c r="S39" s="1">
        <v>10</v>
      </c>
      <c r="T39" s="1">
        <v>9.76</v>
      </c>
      <c r="U39" s="1">
        <v>4059.76</v>
      </c>
      <c r="V39" s="1">
        <v>5</v>
      </c>
      <c r="W39" s="1" t="s">
        <v>94</v>
      </c>
      <c r="X39" s="1"/>
      <c r="Y39" s="1" t="s">
        <v>51</v>
      </c>
      <c r="Z39" s="1" t="s">
        <v>374</v>
      </c>
      <c r="AA39" s="1" t="s">
        <v>397</v>
      </c>
      <c r="AB39" s="1" t="s">
        <v>192</v>
      </c>
      <c r="AC39" s="1" t="s">
        <v>55</v>
      </c>
      <c r="AD39" s="1">
        <v>4</v>
      </c>
      <c r="AE39" s="1"/>
      <c r="AF39" s="1" t="s">
        <v>113</v>
      </c>
      <c r="AG39" s="1"/>
      <c r="AH39" s="11" t="str">
        <f t="shared" si="0"/>
        <v>9067</v>
      </c>
      <c r="AI39" s="11">
        <f t="shared" si="1"/>
        <v>15</v>
      </c>
      <c r="AJ39" s="11" t="str">
        <f t="shared" si="2"/>
        <v>Late delivery</v>
      </c>
      <c r="AK39" s="11" t="str">
        <f t="shared" si="3"/>
        <v>O0038 - Desk Chair - Jordan</v>
      </c>
      <c r="AL39" s="11" t="e">
        <f t="shared" si="4"/>
        <v>#VALUE!</v>
      </c>
      <c r="AM39" s="11">
        <f t="shared" si="5"/>
        <v>5</v>
      </c>
      <c r="AN39" s="11" t="str">
        <f t="shared" si="6"/>
        <v>On Time</v>
      </c>
      <c r="AO39" s="11" t="str">
        <f t="shared" si="7"/>
        <v>Bronze</v>
      </c>
      <c r="AP39" s="12" t="str">
        <f t="shared" si="14"/>
        <v>Low</v>
      </c>
      <c r="AV39" s="11" t="str">
        <f t="shared" si="8"/>
        <v>Valid Number</v>
      </c>
      <c r="AW39" s="11" t="str">
        <f t="shared" si="9"/>
        <v>Text</v>
      </c>
      <c r="AX39" s="11" t="str">
        <f t="shared" si="10"/>
        <v>Not Blank</v>
      </c>
      <c r="AY39" s="11" t="str">
        <f t="shared" si="11"/>
        <v>Invalid Email</v>
      </c>
      <c r="AZ39" s="12" t="str">
        <f t="shared" si="12"/>
        <v>On Time</v>
      </c>
      <c r="BA39" s="11" t="str">
        <f t="shared" si="13"/>
        <v>Medium Risk</v>
      </c>
      <c r="BB39" s="12" t="str">
        <f>_xlfn.LET(_xlpm.Category,_xlfn.XLOOKUP(I38,[1]Products_Lookup!A:A,[1]Products_Lookup!B:B,"Not Found"),IF(AND(_xlpm.Category="Electronics",U38&gt;4000),"High Tech Revenue",IF(AND(_xlpm.Category="Furniture",U38&gt;2000),"Premium Furniture","Standard Product")))</f>
        <v>Standard Product</v>
      </c>
    </row>
    <row r="40" spans="1:54" ht="17" x14ac:dyDescent="0.2">
      <c r="A40" s="1" t="s">
        <v>398</v>
      </c>
      <c r="B40" s="1" t="s">
        <v>399</v>
      </c>
      <c r="C40" s="1" t="s">
        <v>400</v>
      </c>
      <c r="D40" s="1" t="s">
        <v>401</v>
      </c>
      <c r="E40" s="1" t="s">
        <v>402</v>
      </c>
      <c r="F40" s="1" t="s">
        <v>99</v>
      </c>
      <c r="G40" s="1" t="s">
        <v>100</v>
      </c>
      <c r="H40" s="1" t="s">
        <v>101</v>
      </c>
      <c r="I40" s="1" t="s">
        <v>41</v>
      </c>
      <c r="J40" s="1" t="s">
        <v>42</v>
      </c>
      <c r="K40" s="1" t="s">
        <v>43</v>
      </c>
      <c r="L40" s="1" t="s">
        <v>44</v>
      </c>
      <c r="M40" s="1" t="s">
        <v>403</v>
      </c>
      <c r="N40" s="1" t="s">
        <v>404</v>
      </c>
      <c r="O40" s="1" t="s">
        <v>90</v>
      </c>
      <c r="P40" s="1" t="s">
        <v>109</v>
      </c>
      <c r="Q40" s="1">
        <v>8</v>
      </c>
      <c r="R40" s="1">
        <v>150</v>
      </c>
      <c r="S40" s="1">
        <v>15</v>
      </c>
      <c r="T40" s="1">
        <v>19.45</v>
      </c>
      <c r="U40" s="1">
        <v>1039.45</v>
      </c>
      <c r="V40" s="1">
        <v>1</v>
      </c>
      <c r="W40" s="1" t="s">
        <v>49</v>
      </c>
      <c r="X40" s="1" t="s">
        <v>50</v>
      </c>
      <c r="Y40" s="1" t="s">
        <v>110</v>
      </c>
      <c r="Z40" s="1" t="s">
        <v>405</v>
      </c>
      <c r="AA40" s="1" t="s">
        <v>406</v>
      </c>
      <c r="AB40" s="1" t="s">
        <v>192</v>
      </c>
      <c r="AC40" s="1" t="s">
        <v>133</v>
      </c>
      <c r="AD40" s="1">
        <v>2</v>
      </c>
      <c r="AE40" s="1" t="s">
        <v>56</v>
      </c>
      <c r="AF40" s="1" t="s">
        <v>113</v>
      </c>
      <c r="AG40" s="1" t="s">
        <v>78</v>
      </c>
      <c r="AH40" s="11" t="str">
        <f t="shared" si="0"/>
        <v>4241</v>
      </c>
      <c r="AI40" s="11">
        <f t="shared" si="1"/>
        <v>15</v>
      </c>
      <c r="AJ40" s="11" t="str">
        <f t="shared" si="2"/>
        <v>Late delivery</v>
      </c>
      <c r="AK40" s="11" t="str">
        <f t="shared" si="3"/>
        <v>O0039 - Phone - Jordan</v>
      </c>
      <c r="AL40" s="11" t="e">
        <f t="shared" si="4"/>
        <v>#VALUE!</v>
      </c>
      <c r="AM40" s="11">
        <f t="shared" si="5"/>
        <v>5</v>
      </c>
      <c r="AN40" s="11" t="str">
        <f t="shared" si="6"/>
        <v>Late</v>
      </c>
      <c r="AO40" s="11" t="str">
        <f t="shared" si="7"/>
        <v>Gold</v>
      </c>
      <c r="AP40" s="12" t="str">
        <f t="shared" si="14"/>
        <v>High</v>
      </c>
      <c r="AV40" s="11" t="str">
        <f t="shared" si="8"/>
        <v>Valid Number</v>
      </c>
      <c r="AW40" s="11" t="str">
        <f t="shared" si="9"/>
        <v>Text</v>
      </c>
      <c r="AX40" s="11" t="str">
        <f t="shared" si="10"/>
        <v>Not Blank</v>
      </c>
      <c r="AY40" s="11" t="str">
        <f t="shared" si="11"/>
        <v>Invalid Email</v>
      </c>
      <c r="AZ40" s="12" t="str">
        <f t="shared" si="12"/>
        <v>Critical Delay</v>
      </c>
      <c r="BA40" s="11" t="str">
        <f t="shared" si="13"/>
        <v>Low Risk</v>
      </c>
      <c r="BB40" s="12" t="str">
        <f>_xlfn.LET(_xlpm.Category,_xlfn.XLOOKUP(I39,[1]Products_Lookup!A:A,[1]Products_Lookup!B:B,"Not Found"),IF(AND(_xlpm.Category="Electronics",U39&gt;4000),"High Tech Revenue",IF(AND(_xlpm.Category="Furniture",U39&gt;2000),"Premium Furniture","Standard Product")))</f>
        <v>Standard Product</v>
      </c>
    </row>
    <row r="41" spans="1:54" ht="17" x14ac:dyDescent="0.2">
      <c r="A41" s="1" t="s">
        <v>407</v>
      </c>
      <c r="B41" s="1" t="s">
        <v>408</v>
      </c>
      <c r="C41" s="1" t="s">
        <v>409</v>
      </c>
      <c r="D41" s="1" t="s">
        <v>410</v>
      </c>
      <c r="E41" s="1" t="s">
        <v>37</v>
      </c>
      <c r="F41" s="1" t="s">
        <v>38</v>
      </c>
      <c r="G41" s="1" t="s">
        <v>39</v>
      </c>
      <c r="H41" s="1" t="s">
        <v>40</v>
      </c>
      <c r="I41" s="1" t="s">
        <v>102</v>
      </c>
      <c r="J41" s="1" t="s">
        <v>103</v>
      </c>
      <c r="K41" s="1" t="s">
        <v>104</v>
      </c>
      <c r="L41" s="1" t="s">
        <v>105</v>
      </c>
      <c r="M41" s="1" t="s">
        <v>411</v>
      </c>
      <c r="N41" s="1" t="s">
        <v>412</v>
      </c>
      <c r="O41" s="1" t="s">
        <v>108</v>
      </c>
      <c r="P41" s="1" t="s">
        <v>109</v>
      </c>
      <c r="Q41" s="1">
        <v>6</v>
      </c>
      <c r="R41" s="1">
        <v>900</v>
      </c>
      <c r="S41" s="1">
        <v>20</v>
      </c>
      <c r="T41" s="1">
        <v>9.0399999999999991</v>
      </c>
      <c r="U41" s="1">
        <v>4329.04</v>
      </c>
      <c r="V41" s="1">
        <v>3</v>
      </c>
      <c r="W41" s="1" t="s">
        <v>49</v>
      </c>
      <c r="X41" s="1"/>
      <c r="Y41" s="1" t="s">
        <v>110</v>
      </c>
      <c r="Z41" s="1" t="s">
        <v>413</v>
      </c>
      <c r="AA41" s="1" t="s">
        <v>414</v>
      </c>
      <c r="AB41" s="1"/>
      <c r="AC41" s="1" t="s">
        <v>133</v>
      </c>
      <c r="AD41" s="1">
        <v>4</v>
      </c>
      <c r="AE41" s="1" t="s">
        <v>94</v>
      </c>
      <c r="AF41" s="1"/>
      <c r="AG41" s="1" t="s">
        <v>78</v>
      </c>
      <c r="AH41" s="11" t="str">
        <f t="shared" si="0"/>
        <v>4525</v>
      </c>
      <c r="AI41" s="11">
        <f t="shared" si="1"/>
        <v>15</v>
      </c>
      <c r="AJ41" s="11" t="str">
        <f t="shared" si="2"/>
        <v>Late delivery</v>
      </c>
      <c r="AK41" s="11" t="str">
        <f t="shared" si="3"/>
        <v>O0040 - Headphones - Egypt</v>
      </c>
      <c r="AL41" s="11">
        <f t="shared" si="4"/>
        <v>8</v>
      </c>
      <c r="AM41" s="11">
        <f t="shared" si="5"/>
        <v>8</v>
      </c>
      <c r="AN41" s="11" t="str">
        <f t="shared" si="6"/>
        <v>On Time</v>
      </c>
      <c r="AO41" s="11" t="str">
        <f t="shared" si="7"/>
        <v>Silver</v>
      </c>
      <c r="AP41" s="12" t="str">
        <f t="shared" si="14"/>
        <v>Low</v>
      </c>
      <c r="AV41" s="11" t="str">
        <f t="shared" si="8"/>
        <v>Valid Number</v>
      </c>
      <c r="AW41" s="11" t="str">
        <f t="shared" si="9"/>
        <v>Text</v>
      </c>
      <c r="AX41" s="11" t="str">
        <f t="shared" si="10"/>
        <v>Not Blank</v>
      </c>
      <c r="AY41" s="11" t="str">
        <f t="shared" si="11"/>
        <v>Needs Cleaning</v>
      </c>
      <c r="AZ41" s="12" t="str">
        <f t="shared" si="12"/>
        <v>Returned Order</v>
      </c>
      <c r="BA41" s="11" t="str">
        <f t="shared" si="13"/>
        <v>Unknown</v>
      </c>
      <c r="BB41" s="12" t="str">
        <f>_xlfn.LET(_xlpm.Category,_xlfn.XLOOKUP(I40,[1]Products_Lookup!A:A,[1]Products_Lookup!B:B,"Not Found"),IF(AND(_xlpm.Category="Electronics",U40&gt;4000),"High Tech Revenue",IF(AND(_xlpm.Category="Furniture",U40&gt;2000),"Premium Furniture","Standard Product")))</f>
        <v>Standard Product</v>
      </c>
    </row>
    <row r="42" spans="1:54" ht="17" x14ac:dyDescent="0.2">
      <c r="A42" s="1" t="s">
        <v>415</v>
      </c>
      <c r="B42" s="1" t="s">
        <v>416</v>
      </c>
      <c r="C42" s="1" t="s">
        <v>417</v>
      </c>
      <c r="D42" s="1"/>
      <c r="E42" s="1" t="s">
        <v>418</v>
      </c>
      <c r="F42" s="1" t="s">
        <v>38</v>
      </c>
      <c r="G42" s="1" t="s">
        <v>39</v>
      </c>
      <c r="H42" s="1" t="s">
        <v>40</v>
      </c>
      <c r="I42" s="1" t="s">
        <v>149</v>
      </c>
      <c r="J42" s="1" t="s">
        <v>150</v>
      </c>
      <c r="K42" s="1" t="s">
        <v>104</v>
      </c>
      <c r="L42" s="1" t="s">
        <v>151</v>
      </c>
      <c r="M42" s="1" t="s">
        <v>419</v>
      </c>
      <c r="N42" s="1" t="s">
        <v>420</v>
      </c>
      <c r="O42" s="1" t="s">
        <v>47</v>
      </c>
      <c r="P42" s="1" t="s">
        <v>154</v>
      </c>
      <c r="Q42" s="1">
        <v>1</v>
      </c>
      <c r="R42" s="1">
        <v>1200</v>
      </c>
      <c r="S42" s="1">
        <v>10</v>
      </c>
      <c r="T42" s="1">
        <v>17.96</v>
      </c>
      <c r="U42" s="1">
        <v>1097.96</v>
      </c>
      <c r="V42" s="1">
        <v>2</v>
      </c>
      <c r="W42" s="1" t="s">
        <v>94</v>
      </c>
      <c r="X42" s="1" t="s">
        <v>73</v>
      </c>
      <c r="Y42" s="1" t="s">
        <v>326</v>
      </c>
      <c r="Z42" s="1" t="s">
        <v>421</v>
      </c>
      <c r="AA42" s="1" t="s">
        <v>422</v>
      </c>
      <c r="AB42" s="1" t="s">
        <v>192</v>
      </c>
      <c r="AC42" s="1" t="s">
        <v>55</v>
      </c>
      <c r="AD42" s="1">
        <v>2</v>
      </c>
      <c r="AE42" s="1" t="s">
        <v>77</v>
      </c>
      <c r="AF42" s="1" t="e">
        <v>#N/A</v>
      </c>
      <c r="AG42" s="1"/>
      <c r="AH42" s="11" t="str">
        <f t="shared" si="0"/>
        <v>9674</v>
      </c>
      <c r="AI42" s="11">
        <f t="shared" si="1"/>
        <v>0</v>
      </c>
      <c r="AJ42" s="11" t="str">
        <f t="shared" si="2"/>
        <v/>
      </c>
      <c r="AK42" s="11" t="str">
        <f t="shared" si="3"/>
        <v>O0041 - Phone - Jordan</v>
      </c>
      <c r="AL42" s="11">
        <f t="shared" si="4"/>
        <v>7</v>
      </c>
      <c r="AM42" s="11">
        <f t="shared" si="5"/>
        <v>6</v>
      </c>
      <c r="AN42" s="11" t="str">
        <f t="shared" si="6"/>
        <v>Late</v>
      </c>
      <c r="AO42" s="11" t="str">
        <f t="shared" si="7"/>
        <v>Gold</v>
      </c>
      <c r="AP42" s="12" t="str">
        <f t="shared" si="14"/>
        <v>High</v>
      </c>
      <c r="AV42" s="11" t="str">
        <f t="shared" si="8"/>
        <v>Valid Number</v>
      </c>
      <c r="AW42" s="11" t="str">
        <f t="shared" si="9"/>
        <v>Not Text</v>
      </c>
      <c r="AX42" s="11" t="str">
        <f t="shared" si="10"/>
        <v>Not Blank</v>
      </c>
      <c r="AY42" s="11" t="str">
        <f t="shared" si="11"/>
        <v>Valid</v>
      </c>
      <c r="AZ42" s="12" t="str">
        <f t="shared" si="12"/>
        <v>Returned Order</v>
      </c>
      <c r="BA42" s="11" t="str">
        <f t="shared" si="13"/>
        <v>Medium Risk</v>
      </c>
      <c r="BB42" s="12" t="str">
        <f>_xlfn.LET(_xlpm.Category,_xlfn.XLOOKUP(I41,[1]Products_Lookup!A:A,[1]Products_Lookup!B:B,"Not Found"),IF(AND(_xlpm.Category="Electronics",U41&gt;4000),"High Tech Revenue",IF(AND(_xlpm.Category="Furniture",U41&gt;2000),"Premium Furniture","Standard Product")))</f>
        <v>Standard Product</v>
      </c>
    </row>
    <row r="43" spans="1:54" ht="17" x14ac:dyDescent="0.2">
      <c r="A43" s="1" t="s">
        <v>423</v>
      </c>
      <c r="B43" s="1" t="s">
        <v>424</v>
      </c>
      <c r="C43" s="1" t="s">
        <v>425</v>
      </c>
      <c r="D43" s="1" t="s">
        <v>426</v>
      </c>
      <c r="E43" s="1" t="s">
        <v>37</v>
      </c>
      <c r="F43" s="1" t="s">
        <v>99</v>
      </c>
      <c r="G43" s="1" t="s">
        <v>100</v>
      </c>
      <c r="H43" s="1" t="s">
        <v>101</v>
      </c>
      <c r="I43" s="1" t="s">
        <v>102</v>
      </c>
      <c r="J43" s="1" t="s">
        <v>103</v>
      </c>
      <c r="K43" s="1" t="s">
        <v>104</v>
      </c>
      <c r="L43" s="1" t="s">
        <v>105</v>
      </c>
      <c r="M43" s="1" t="s">
        <v>427</v>
      </c>
      <c r="N43" s="1" t="s">
        <v>140</v>
      </c>
      <c r="O43" s="1" t="s">
        <v>71</v>
      </c>
      <c r="P43" s="1" t="s">
        <v>154</v>
      </c>
      <c r="Q43" s="1">
        <v>1</v>
      </c>
      <c r="R43" s="1">
        <v>900</v>
      </c>
      <c r="S43" s="1">
        <v>20</v>
      </c>
      <c r="T43" s="1">
        <v>10.49</v>
      </c>
      <c r="U43" s="1">
        <v>730.49</v>
      </c>
      <c r="V43" s="1">
        <v>5</v>
      </c>
      <c r="W43" s="1" t="s">
        <v>94</v>
      </c>
      <c r="X43" s="1" t="s">
        <v>73</v>
      </c>
      <c r="Y43" s="1" t="s">
        <v>181</v>
      </c>
      <c r="Z43" s="1" t="s">
        <v>421</v>
      </c>
      <c r="AA43" s="1" t="s">
        <v>428</v>
      </c>
      <c r="AB43" s="1"/>
      <c r="AC43" s="1" t="s">
        <v>133</v>
      </c>
      <c r="AD43" s="1">
        <v>4</v>
      </c>
      <c r="AE43" s="1" t="s">
        <v>77</v>
      </c>
      <c r="AF43" s="1" t="e">
        <v>#N/A</v>
      </c>
      <c r="AG43" s="1" t="s">
        <v>78</v>
      </c>
      <c r="AH43" s="11" t="str">
        <f t="shared" si="0"/>
        <v>5484</v>
      </c>
      <c r="AI43" s="11">
        <f t="shared" si="1"/>
        <v>15</v>
      </c>
      <c r="AJ43" s="11" t="str">
        <f t="shared" si="2"/>
        <v>Late delivery</v>
      </c>
      <c r="AK43" s="11" t="str">
        <f t="shared" si="3"/>
        <v>O0042 - Laptop - Jordan</v>
      </c>
      <c r="AL43" s="11" t="e">
        <f t="shared" si="4"/>
        <v>#VALUE!</v>
      </c>
      <c r="AM43" s="11">
        <f t="shared" si="5"/>
        <v>1</v>
      </c>
      <c r="AN43" s="11" t="str">
        <f t="shared" si="6"/>
        <v>On Time</v>
      </c>
      <c r="AO43" s="11" t="str">
        <f t="shared" si="7"/>
        <v>Silver</v>
      </c>
      <c r="AP43" s="12" t="str">
        <f t="shared" si="14"/>
        <v>Low</v>
      </c>
      <c r="AV43" s="11" t="str">
        <f t="shared" si="8"/>
        <v>Valid Number</v>
      </c>
      <c r="AW43" s="11" t="str">
        <f t="shared" si="9"/>
        <v>Text</v>
      </c>
      <c r="AX43" s="11" t="str">
        <f t="shared" si="10"/>
        <v>Not Blank</v>
      </c>
      <c r="AY43" s="11" t="str">
        <f t="shared" si="11"/>
        <v>Missing Email</v>
      </c>
      <c r="AZ43" s="12" t="str">
        <f t="shared" si="12"/>
        <v>On Time</v>
      </c>
      <c r="BA43" s="11" t="str">
        <f t="shared" si="13"/>
        <v>Unknown</v>
      </c>
      <c r="BB43" s="12" t="str">
        <f>_xlfn.LET(_xlpm.Category,_xlfn.XLOOKUP(I42,[1]Products_Lookup!A:A,[1]Products_Lookup!B:B,"Not Found"),IF(AND(_xlpm.Category="Electronics",U42&gt;4000),"High Tech Revenue",IF(AND(_xlpm.Category="Furniture",U42&gt;2000),"Premium Furniture","Standard Product")))</f>
        <v>Standard Product</v>
      </c>
    </row>
    <row r="44" spans="1:54" ht="17" x14ac:dyDescent="0.2">
      <c r="A44" s="1" t="s">
        <v>429</v>
      </c>
      <c r="B44" s="1" t="s">
        <v>430</v>
      </c>
      <c r="C44" s="1" t="s">
        <v>431</v>
      </c>
      <c r="D44" s="1" t="s">
        <v>432</v>
      </c>
      <c r="E44" s="1" t="s">
        <v>37</v>
      </c>
      <c r="F44" s="1" t="s">
        <v>99</v>
      </c>
      <c r="G44" s="1" t="s">
        <v>100</v>
      </c>
      <c r="H44" s="1" t="s">
        <v>101</v>
      </c>
      <c r="I44" s="1" t="s">
        <v>84</v>
      </c>
      <c r="J44" s="1" t="s">
        <v>85</v>
      </c>
      <c r="K44" s="1" t="s">
        <v>86</v>
      </c>
      <c r="L44" s="1" t="s">
        <v>87</v>
      </c>
      <c r="M44" s="1" t="s">
        <v>433</v>
      </c>
      <c r="N44" s="1" t="s">
        <v>434</v>
      </c>
      <c r="O44" s="1" t="s">
        <v>71</v>
      </c>
      <c r="P44" s="1" t="s">
        <v>48</v>
      </c>
      <c r="Q44" s="1" t="s">
        <v>37</v>
      </c>
      <c r="R44" s="1">
        <v>340</v>
      </c>
      <c r="S44" s="1">
        <v>10</v>
      </c>
      <c r="T44" s="1">
        <v>6.12</v>
      </c>
      <c r="U44" s="1">
        <v>3066.12</v>
      </c>
      <c r="V44" s="1">
        <v>3</v>
      </c>
      <c r="W44" s="1" t="s">
        <v>72</v>
      </c>
      <c r="X44" s="1" t="s">
        <v>73</v>
      </c>
      <c r="Y44" s="1" t="s">
        <v>110</v>
      </c>
      <c r="Z44" s="1" t="s">
        <v>435</v>
      </c>
      <c r="AA44" s="1" t="s">
        <v>436</v>
      </c>
      <c r="AB44" s="1" t="s">
        <v>192</v>
      </c>
      <c r="AC44" s="1" t="s">
        <v>133</v>
      </c>
      <c r="AD44" s="1">
        <v>3</v>
      </c>
      <c r="AE44" s="1" t="s">
        <v>56</v>
      </c>
      <c r="AF44" s="1" t="s">
        <v>113</v>
      </c>
      <c r="AG44" s="1" t="s">
        <v>57</v>
      </c>
      <c r="AH44" s="11" t="str">
        <f t="shared" si="0"/>
        <v>0025</v>
      </c>
      <c r="AI44" s="11">
        <f t="shared" si="1"/>
        <v>0</v>
      </c>
      <c r="AJ44" s="11" t="str">
        <f t="shared" si="2"/>
        <v/>
      </c>
      <c r="AK44" s="11" t="str">
        <f t="shared" si="3"/>
        <v>O0043 - Phone - Egypt</v>
      </c>
      <c r="AL44" s="11" t="e">
        <f t="shared" si="4"/>
        <v>#VALUE!</v>
      </c>
      <c r="AM44" s="11">
        <f t="shared" si="5"/>
        <v>1</v>
      </c>
      <c r="AN44" s="11" t="str">
        <f t="shared" si="6"/>
        <v>On Time</v>
      </c>
      <c r="AO44" s="11" t="str">
        <f t="shared" si="7"/>
        <v>Bronze</v>
      </c>
      <c r="AP44" s="12" t="str">
        <f t="shared" si="14"/>
        <v>Medium</v>
      </c>
      <c r="AV44" s="11" t="str">
        <f t="shared" si="8"/>
        <v>Valid Number</v>
      </c>
      <c r="AW44" s="11" t="str">
        <f t="shared" si="9"/>
        <v>Not Text</v>
      </c>
      <c r="AX44" s="11" t="str">
        <f t="shared" si="10"/>
        <v>Not Blank</v>
      </c>
      <c r="AY44" s="11" t="str">
        <f t="shared" si="11"/>
        <v>Invalid Email</v>
      </c>
      <c r="AZ44" s="12" t="str">
        <f t="shared" si="12"/>
        <v>On Time</v>
      </c>
      <c r="BA44" s="11" t="str">
        <f t="shared" si="13"/>
        <v>Low Risk</v>
      </c>
      <c r="BB44" s="12" t="str">
        <f>_xlfn.LET(_xlpm.Category,_xlfn.XLOOKUP(I43,[1]Products_Lookup!A:A,[1]Products_Lookup!B:B,"Not Found"),IF(AND(_xlpm.Category="Electronics",U43&gt;4000),"High Tech Revenue",IF(AND(_xlpm.Category="Furniture",U43&gt;2000),"Premium Furniture","Standard Product")))</f>
        <v>Standard Product</v>
      </c>
    </row>
    <row r="45" spans="1:54" ht="17" x14ac:dyDescent="0.2">
      <c r="A45" s="1" t="s">
        <v>437</v>
      </c>
      <c r="B45" s="1" t="s">
        <v>438</v>
      </c>
      <c r="C45" s="1" t="s">
        <v>439</v>
      </c>
      <c r="D45" s="1" t="s">
        <v>440</v>
      </c>
      <c r="E45" s="1" t="s">
        <v>441</v>
      </c>
      <c r="F45" s="1" t="s">
        <v>99</v>
      </c>
      <c r="G45" s="1" t="s">
        <v>100</v>
      </c>
      <c r="H45" s="1" t="s">
        <v>101</v>
      </c>
      <c r="I45" s="1" t="s">
        <v>41</v>
      </c>
      <c r="J45" s="1" t="s">
        <v>42</v>
      </c>
      <c r="K45" s="1" t="s">
        <v>43</v>
      </c>
      <c r="L45" s="1" t="s">
        <v>44</v>
      </c>
      <c r="M45" s="1" t="s">
        <v>244</v>
      </c>
      <c r="N45" s="1" t="s">
        <v>442</v>
      </c>
      <c r="O45" s="1" t="s">
        <v>71</v>
      </c>
      <c r="P45" s="1" t="s">
        <v>154</v>
      </c>
      <c r="Q45" s="1" t="s">
        <v>37</v>
      </c>
      <c r="R45" s="1">
        <v>150</v>
      </c>
      <c r="S45" s="1">
        <v>15</v>
      </c>
      <c r="T45" s="1">
        <v>16.32</v>
      </c>
      <c r="U45" s="1">
        <v>143.82</v>
      </c>
      <c r="V45" s="1">
        <v>4</v>
      </c>
      <c r="W45" s="1" t="s">
        <v>49</v>
      </c>
      <c r="X45" s="1" t="s">
        <v>73</v>
      </c>
      <c r="Y45" s="1" t="s">
        <v>254</v>
      </c>
      <c r="Z45" s="1" t="s">
        <v>443</v>
      </c>
      <c r="AA45" s="1" t="s">
        <v>444</v>
      </c>
      <c r="AB45" s="1" t="s">
        <v>192</v>
      </c>
      <c r="AC45" s="1" t="s">
        <v>55</v>
      </c>
      <c r="AD45" s="1">
        <v>4</v>
      </c>
      <c r="AE45" s="1" t="s">
        <v>94</v>
      </c>
      <c r="AF45" s="1"/>
      <c r="AG45" s="1" t="s">
        <v>78</v>
      </c>
      <c r="AH45" s="11" t="str">
        <f t="shared" si="0"/>
        <v>8348</v>
      </c>
      <c r="AI45" s="11">
        <f t="shared" si="1"/>
        <v>15</v>
      </c>
      <c r="AJ45" s="11" t="str">
        <f t="shared" si="2"/>
        <v>Late delivery</v>
      </c>
      <c r="AK45" s="11" t="str">
        <f t="shared" si="3"/>
        <v>O0044 - Coffee Machine - Egypt</v>
      </c>
      <c r="AL45" s="11" t="e">
        <f t="shared" si="4"/>
        <v>#VALUE!</v>
      </c>
      <c r="AM45" s="11" t="e">
        <f t="shared" si="5"/>
        <v>#VALUE!</v>
      </c>
      <c r="AN45" s="11" t="str">
        <f t="shared" si="6"/>
        <v>On Time</v>
      </c>
      <c r="AO45" s="11" t="str">
        <f t="shared" si="7"/>
        <v>Gold</v>
      </c>
      <c r="AP45" s="12" t="str">
        <f t="shared" si="14"/>
        <v>Low</v>
      </c>
      <c r="AV45" s="11" t="str">
        <f t="shared" si="8"/>
        <v>Not Numeric</v>
      </c>
      <c r="AW45" s="11" t="str">
        <f t="shared" si="9"/>
        <v>Text</v>
      </c>
      <c r="AX45" s="11" t="str">
        <f t="shared" si="10"/>
        <v>Not Blank</v>
      </c>
      <c r="AY45" s="11" t="str">
        <f t="shared" si="11"/>
        <v>Invalid Email</v>
      </c>
      <c r="AZ45" s="12" t="str">
        <f t="shared" si="12"/>
        <v>On Time</v>
      </c>
      <c r="BA45" s="11" t="str">
        <f t="shared" si="13"/>
        <v>Medium Risk</v>
      </c>
      <c r="BB45" s="12" t="str">
        <f>_xlfn.LET(_xlpm.Category,_xlfn.XLOOKUP(I44,[1]Products_Lookup!A:A,[1]Products_Lookup!B:B,"Not Found"),IF(AND(_xlpm.Category="Electronics",U44&gt;4000),"High Tech Revenue",IF(AND(_xlpm.Category="Furniture",U44&gt;2000),"Premium Furniture","Standard Product")))</f>
        <v>Standard Product</v>
      </c>
    </row>
    <row r="46" spans="1:54" ht="17" x14ac:dyDescent="0.2">
      <c r="A46" s="1" t="s">
        <v>445</v>
      </c>
      <c r="B46" s="1" t="s">
        <v>446</v>
      </c>
      <c r="C46" s="1" t="s">
        <v>447</v>
      </c>
      <c r="D46" s="1" t="s">
        <v>448</v>
      </c>
      <c r="E46" s="1" t="s">
        <v>37</v>
      </c>
      <c r="F46" s="1" t="s">
        <v>38</v>
      </c>
      <c r="G46" s="1" t="s">
        <v>39</v>
      </c>
      <c r="H46" s="1" t="s">
        <v>40</v>
      </c>
      <c r="I46" s="1" t="s">
        <v>65</v>
      </c>
      <c r="J46" s="1" t="s">
        <v>66</v>
      </c>
      <c r="K46" s="1" t="s">
        <v>67</v>
      </c>
      <c r="L46" s="1" t="s">
        <v>68</v>
      </c>
      <c r="M46" s="1" t="s">
        <v>449</v>
      </c>
      <c r="N46" s="1" t="s">
        <v>450</v>
      </c>
      <c r="O46" s="1" t="s">
        <v>108</v>
      </c>
      <c r="P46" s="1" t="s">
        <v>109</v>
      </c>
      <c r="Q46" s="1">
        <v>8</v>
      </c>
      <c r="R46" s="1">
        <v>220</v>
      </c>
      <c r="S46" s="1">
        <v>20</v>
      </c>
      <c r="T46" s="1">
        <v>12.81</v>
      </c>
      <c r="U46" s="1">
        <v>1420.81</v>
      </c>
      <c r="V46" s="1"/>
      <c r="W46" s="1" t="s">
        <v>49</v>
      </c>
      <c r="X46" s="1" t="s">
        <v>50</v>
      </c>
      <c r="Y46" s="1" t="s">
        <v>254</v>
      </c>
      <c r="Z46" s="1" t="s">
        <v>451</v>
      </c>
      <c r="AA46" s="1" t="s">
        <v>452</v>
      </c>
      <c r="AB46" s="1" t="s">
        <v>54</v>
      </c>
      <c r="AC46" s="1" t="s">
        <v>55</v>
      </c>
      <c r="AD46" s="1">
        <v>2</v>
      </c>
      <c r="AE46" s="1" t="s">
        <v>56</v>
      </c>
      <c r="AF46" s="1"/>
      <c r="AG46" s="1" t="s">
        <v>78</v>
      </c>
      <c r="AH46" s="11" t="str">
        <f t="shared" si="0"/>
        <v>2220</v>
      </c>
      <c r="AI46" s="11">
        <f t="shared" si="1"/>
        <v>15</v>
      </c>
      <c r="AJ46" s="11" t="str">
        <f t="shared" si="2"/>
        <v>Late delivery</v>
      </c>
      <c r="AK46" s="11" t="str">
        <f t="shared" si="3"/>
        <v>O0045 - Headphones - Egypt</v>
      </c>
      <c r="AL46" s="11" t="e">
        <f t="shared" si="4"/>
        <v>#VALUE!</v>
      </c>
      <c r="AM46" s="11" t="e">
        <f t="shared" si="5"/>
        <v>#VALUE!</v>
      </c>
      <c r="AN46" s="11" t="str">
        <f t="shared" si="6"/>
        <v>Late</v>
      </c>
      <c r="AO46" s="11" t="str">
        <f t="shared" si="7"/>
        <v>Bronze</v>
      </c>
      <c r="AP46" s="12" t="str">
        <f t="shared" si="14"/>
        <v>High</v>
      </c>
      <c r="AV46" s="11" t="str">
        <f t="shared" si="8"/>
        <v>Not Numeric</v>
      </c>
      <c r="AW46" s="11" t="str">
        <f t="shared" si="9"/>
        <v>Text</v>
      </c>
      <c r="AX46" s="11" t="str">
        <f t="shared" si="10"/>
        <v>Blank</v>
      </c>
      <c r="AY46" s="11" t="str">
        <f t="shared" si="11"/>
        <v>Invalid Email</v>
      </c>
      <c r="AZ46" s="12" t="str">
        <f t="shared" si="12"/>
        <v>Returned Order</v>
      </c>
      <c r="BA46" s="11" t="str">
        <f t="shared" si="13"/>
        <v>Low Risk</v>
      </c>
      <c r="BB46" s="12" t="str">
        <f>_xlfn.LET(_xlpm.Category,_xlfn.XLOOKUP(I45,[1]Products_Lookup!A:A,[1]Products_Lookup!B:B,"Not Found"),IF(AND(_xlpm.Category="Electronics",U45&gt;4000),"High Tech Revenue",IF(AND(_xlpm.Category="Furniture",U45&gt;2000),"Premium Furniture","Standard Product")))</f>
        <v>Standard Product</v>
      </c>
    </row>
    <row r="47" spans="1:54" ht="17" x14ac:dyDescent="0.2">
      <c r="A47" s="1" t="s">
        <v>453</v>
      </c>
      <c r="B47" s="1" t="s">
        <v>454</v>
      </c>
      <c r="C47" s="1" t="s">
        <v>455</v>
      </c>
      <c r="D47" s="1" t="s">
        <v>456</v>
      </c>
      <c r="E47" s="1" t="s">
        <v>457</v>
      </c>
      <c r="F47" s="1" t="s">
        <v>138</v>
      </c>
      <c r="G47" s="1" t="s">
        <v>139</v>
      </c>
      <c r="H47" s="1" t="s">
        <v>64</v>
      </c>
      <c r="I47" s="1" t="s">
        <v>149</v>
      </c>
      <c r="J47" s="1" t="s">
        <v>150</v>
      </c>
      <c r="K47" s="1" t="s">
        <v>104</v>
      </c>
      <c r="L47" s="1" t="s">
        <v>151</v>
      </c>
      <c r="M47" s="1" t="s">
        <v>420</v>
      </c>
      <c r="N47" s="1" t="s">
        <v>189</v>
      </c>
      <c r="O47" s="1" t="s">
        <v>47</v>
      </c>
      <c r="P47" s="1" t="s">
        <v>109</v>
      </c>
      <c r="Q47" s="1">
        <v>2</v>
      </c>
      <c r="R47" s="1">
        <v>1200</v>
      </c>
      <c r="S47" s="1">
        <v>10</v>
      </c>
      <c r="T47" s="1">
        <v>3.22</v>
      </c>
      <c r="U47" s="1">
        <v>2163.2199999999998</v>
      </c>
      <c r="V47" s="1">
        <v>2</v>
      </c>
      <c r="W47" s="1" t="s">
        <v>72</v>
      </c>
      <c r="X47" s="1"/>
      <c r="Y47" s="1" t="s">
        <v>51</v>
      </c>
      <c r="Z47" s="1" t="s">
        <v>458</v>
      </c>
      <c r="AA47" s="1" t="s">
        <v>459</v>
      </c>
      <c r="AB47" s="1" t="s">
        <v>54</v>
      </c>
      <c r="AC47" s="1" t="s">
        <v>133</v>
      </c>
      <c r="AD47" s="1">
        <v>3</v>
      </c>
      <c r="AE47" s="1" t="s">
        <v>77</v>
      </c>
      <c r="AF47" s="1" t="e">
        <v>#VALUE!</v>
      </c>
      <c r="AG47" s="1"/>
      <c r="AH47" s="11" t="str">
        <f t="shared" si="0"/>
        <v>2477</v>
      </c>
      <c r="AI47" s="11">
        <f t="shared" si="1"/>
        <v>4</v>
      </c>
      <c r="AJ47" s="11" t="str">
        <f t="shared" si="2"/>
        <v>Good</v>
      </c>
      <c r="AK47" s="11" t="str">
        <f t="shared" si="3"/>
        <v>O0046 - Desk Chair - Jordan</v>
      </c>
      <c r="AL47" s="11">
        <f t="shared" si="4"/>
        <v>7</v>
      </c>
      <c r="AM47" s="11">
        <f t="shared" si="5"/>
        <v>8</v>
      </c>
      <c r="AN47" s="11" t="str">
        <f t="shared" si="6"/>
        <v>On Time</v>
      </c>
      <c r="AO47" s="11" t="str">
        <f t="shared" si="7"/>
        <v>Silver</v>
      </c>
      <c r="AP47" s="12" t="str">
        <f t="shared" si="14"/>
        <v>Medium</v>
      </c>
      <c r="AV47" s="11" t="str">
        <f t="shared" si="8"/>
        <v>Valid Number</v>
      </c>
      <c r="AW47" s="11" t="str">
        <f t="shared" si="9"/>
        <v>Text</v>
      </c>
      <c r="AX47" s="11" t="str">
        <f t="shared" si="10"/>
        <v>Not Blank</v>
      </c>
      <c r="AY47" s="11" t="str">
        <f t="shared" si="11"/>
        <v>Valid</v>
      </c>
      <c r="AZ47" s="12" t="str">
        <f t="shared" si="12"/>
        <v>Returned Order</v>
      </c>
      <c r="BA47" s="11" t="str">
        <f t="shared" si="13"/>
        <v>Unknown</v>
      </c>
      <c r="BB47" s="12" t="str">
        <f>_xlfn.LET(_xlpm.Category,_xlfn.XLOOKUP(I46,[1]Products_Lookup!A:A,[1]Products_Lookup!B:B,"Not Found"),IF(AND(_xlpm.Category="Electronics",U46&gt;4000),"High Tech Revenue",IF(AND(_xlpm.Category="Furniture",U46&gt;2000),"Premium Furniture","Standard Product")))</f>
        <v>Standard Product</v>
      </c>
    </row>
    <row r="48" spans="1:54" ht="17" x14ac:dyDescent="0.2">
      <c r="A48" s="1" t="s">
        <v>460</v>
      </c>
      <c r="B48" s="1" t="s">
        <v>461</v>
      </c>
      <c r="C48" s="1" t="s">
        <v>462</v>
      </c>
      <c r="D48" s="1" t="s">
        <v>463</v>
      </c>
      <c r="E48" s="1" t="s">
        <v>37</v>
      </c>
      <c r="F48" s="1" t="s">
        <v>138</v>
      </c>
      <c r="G48" s="1" t="s">
        <v>139</v>
      </c>
      <c r="H48" s="1" t="s">
        <v>64</v>
      </c>
      <c r="I48" s="1" t="s">
        <v>149</v>
      </c>
      <c r="J48" s="1" t="s">
        <v>150</v>
      </c>
      <c r="K48" s="1" t="s">
        <v>104</v>
      </c>
      <c r="L48" s="1" t="s">
        <v>151</v>
      </c>
      <c r="M48" s="1" t="s">
        <v>420</v>
      </c>
      <c r="N48" s="1" t="s">
        <v>106</v>
      </c>
      <c r="O48" s="1" t="s">
        <v>90</v>
      </c>
      <c r="P48" s="1" t="s">
        <v>154</v>
      </c>
      <c r="Q48" s="1">
        <v>3</v>
      </c>
      <c r="R48" s="1">
        <v>1200</v>
      </c>
      <c r="S48" s="1">
        <v>15</v>
      </c>
      <c r="T48" s="1">
        <v>13.17</v>
      </c>
      <c r="U48" s="1">
        <v>3073.17</v>
      </c>
      <c r="V48" s="1"/>
      <c r="W48" s="1" t="s">
        <v>49</v>
      </c>
      <c r="X48" s="1" t="s">
        <v>50</v>
      </c>
      <c r="Y48" s="1" t="s">
        <v>226</v>
      </c>
      <c r="Z48" s="1" t="s">
        <v>464</v>
      </c>
      <c r="AA48" s="1" t="s">
        <v>465</v>
      </c>
      <c r="AB48" s="1" t="s">
        <v>192</v>
      </c>
      <c r="AC48" s="1" t="s">
        <v>55</v>
      </c>
      <c r="AD48" s="1">
        <v>4</v>
      </c>
      <c r="AE48" s="1" t="s">
        <v>56</v>
      </c>
      <c r="AF48" s="1"/>
      <c r="AG48" s="1" t="s">
        <v>57</v>
      </c>
      <c r="AH48" s="11" t="str">
        <f t="shared" si="0"/>
        <v>7934</v>
      </c>
      <c r="AI48" s="11">
        <f t="shared" si="1"/>
        <v>4</v>
      </c>
      <c r="AJ48" s="11" t="str">
        <f t="shared" si="2"/>
        <v>Good</v>
      </c>
      <c r="AK48" s="11" t="str">
        <f t="shared" si="3"/>
        <v>O0047 - Laptop - UAE</v>
      </c>
      <c r="AL48" s="11" t="e">
        <f t="shared" si="4"/>
        <v>#VALUE!</v>
      </c>
      <c r="AM48" s="11">
        <f t="shared" si="5"/>
        <v>2</v>
      </c>
      <c r="AN48" s="11" t="str">
        <f t="shared" si="6"/>
        <v>On Time</v>
      </c>
      <c r="AO48" s="11" t="str">
        <f t="shared" si="7"/>
        <v>Silver</v>
      </c>
      <c r="AP48" s="12" t="str">
        <f t="shared" si="14"/>
        <v>Low</v>
      </c>
      <c r="AV48" s="11" t="str">
        <f t="shared" si="8"/>
        <v>Valid Number</v>
      </c>
      <c r="AW48" s="11" t="str">
        <f t="shared" si="9"/>
        <v>Text</v>
      </c>
      <c r="AX48" s="11" t="str">
        <f t="shared" si="10"/>
        <v>Blank</v>
      </c>
      <c r="AY48" s="11" t="str">
        <f t="shared" si="11"/>
        <v>Invalid Email</v>
      </c>
      <c r="AZ48" s="12" t="str">
        <f t="shared" si="12"/>
        <v>On Time</v>
      </c>
      <c r="BA48" s="11" t="str">
        <f t="shared" si="13"/>
        <v>Unknown</v>
      </c>
      <c r="BB48" s="12" t="str">
        <f>_xlfn.LET(_xlpm.Category,_xlfn.XLOOKUP(I47,[1]Products_Lookup!A:A,[1]Products_Lookup!B:B,"Not Found"),IF(AND(_xlpm.Category="Electronics",U47&gt;4000),"High Tech Revenue",IF(AND(_xlpm.Category="Furniture",U47&gt;2000),"Premium Furniture","Standard Product")))</f>
        <v>Standard Product</v>
      </c>
    </row>
    <row r="49" spans="1:54" ht="17" x14ac:dyDescent="0.2">
      <c r="A49" s="1" t="s">
        <v>466</v>
      </c>
      <c r="B49" s="1" t="s">
        <v>467</v>
      </c>
      <c r="C49" s="1" t="s">
        <v>468</v>
      </c>
      <c r="D49" s="1"/>
      <c r="E49" s="1" t="s">
        <v>83</v>
      </c>
      <c r="F49" s="1" t="s">
        <v>38</v>
      </c>
      <c r="G49" s="1" t="s">
        <v>39</v>
      </c>
      <c r="H49" s="1" t="s">
        <v>40</v>
      </c>
      <c r="I49" s="1" t="s">
        <v>102</v>
      </c>
      <c r="J49" s="1" t="s">
        <v>103</v>
      </c>
      <c r="K49" s="1" t="s">
        <v>104</v>
      </c>
      <c r="L49" s="1" t="s">
        <v>105</v>
      </c>
      <c r="M49" s="1" t="s">
        <v>469</v>
      </c>
      <c r="N49" s="1" t="s">
        <v>380</v>
      </c>
      <c r="O49" s="1" t="s">
        <v>90</v>
      </c>
      <c r="P49" s="1" t="s">
        <v>154</v>
      </c>
      <c r="Q49" s="1" t="s">
        <v>37</v>
      </c>
      <c r="R49" s="1">
        <v>900</v>
      </c>
      <c r="S49" s="1">
        <v>10</v>
      </c>
      <c r="T49" s="1">
        <v>11.88</v>
      </c>
      <c r="U49" s="1">
        <v>2441.88</v>
      </c>
      <c r="V49" s="1">
        <v>5</v>
      </c>
      <c r="W49" s="1" t="s">
        <v>94</v>
      </c>
      <c r="X49" s="1" t="s">
        <v>50</v>
      </c>
      <c r="Y49" s="1" t="s">
        <v>200</v>
      </c>
      <c r="Z49" s="1" t="s">
        <v>470</v>
      </c>
      <c r="AA49" s="1" t="s">
        <v>471</v>
      </c>
      <c r="AB49" s="1" t="s">
        <v>54</v>
      </c>
      <c r="AC49" s="1" t="s">
        <v>55</v>
      </c>
      <c r="AD49" s="1">
        <v>3</v>
      </c>
      <c r="AE49" s="1" t="s">
        <v>94</v>
      </c>
      <c r="AF49" s="1" t="s">
        <v>113</v>
      </c>
      <c r="AG49" s="1" t="s">
        <v>57</v>
      </c>
      <c r="AH49" s="11" t="str">
        <f t="shared" si="0"/>
        <v>5441</v>
      </c>
      <c r="AI49" s="11">
        <f t="shared" si="1"/>
        <v>15</v>
      </c>
      <c r="AJ49" s="11" t="str">
        <f t="shared" si="2"/>
        <v>Late delivery</v>
      </c>
      <c r="AK49" s="11" t="str">
        <f t="shared" si="3"/>
        <v>O0048 - Laptop - UAE</v>
      </c>
      <c r="AL49" s="11">
        <f t="shared" si="4"/>
        <v>7</v>
      </c>
      <c r="AM49" s="11">
        <f t="shared" si="5"/>
        <v>3</v>
      </c>
      <c r="AN49" s="11" t="str">
        <f t="shared" si="6"/>
        <v>On Time</v>
      </c>
      <c r="AO49" s="11" t="str">
        <f t="shared" si="7"/>
        <v>Gold</v>
      </c>
      <c r="AP49" s="12" t="str">
        <f t="shared" si="14"/>
        <v>Medium</v>
      </c>
      <c r="AV49" s="11" t="str">
        <f t="shared" si="8"/>
        <v>Valid Number</v>
      </c>
      <c r="AW49" s="11" t="str">
        <f t="shared" si="9"/>
        <v>Text</v>
      </c>
      <c r="AX49" s="11" t="str">
        <f t="shared" si="10"/>
        <v>Not Blank</v>
      </c>
      <c r="AY49" s="11" t="str">
        <f t="shared" si="11"/>
        <v>Valid</v>
      </c>
      <c r="AZ49" s="12" t="str">
        <f t="shared" si="12"/>
        <v>Returned Order</v>
      </c>
      <c r="BA49" s="11" t="str">
        <f t="shared" si="13"/>
        <v>Unknown</v>
      </c>
      <c r="BB49" s="12" t="str">
        <f>_xlfn.LET(_xlpm.Category,_xlfn.XLOOKUP(I48,[1]Products_Lookup!A:A,[1]Products_Lookup!B:B,"Not Found"),IF(AND(_xlpm.Category="Electronics",U48&gt;4000),"High Tech Revenue",IF(AND(_xlpm.Category="Furniture",U48&gt;2000),"Premium Furniture","Standard Product")))</f>
        <v>Standard Product</v>
      </c>
    </row>
    <row r="50" spans="1:54" ht="17" x14ac:dyDescent="0.2">
      <c r="A50" s="1" t="s">
        <v>472</v>
      </c>
      <c r="B50" s="1" t="s">
        <v>473</v>
      </c>
      <c r="C50" s="1" t="s">
        <v>474</v>
      </c>
      <c r="D50" s="1" t="s">
        <v>475</v>
      </c>
      <c r="E50" s="1" t="s">
        <v>83</v>
      </c>
      <c r="F50" s="1" t="s">
        <v>62</v>
      </c>
      <c r="G50" s="1" t="s">
        <v>63</v>
      </c>
      <c r="H50" s="1" t="s">
        <v>64</v>
      </c>
      <c r="I50" s="1" t="s">
        <v>149</v>
      </c>
      <c r="J50" s="1" t="s">
        <v>150</v>
      </c>
      <c r="K50" s="1" t="s">
        <v>104</v>
      </c>
      <c r="L50" s="1" t="s">
        <v>151</v>
      </c>
      <c r="M50" s="1" t="s">
        <v>107</v>
      </c>
      <c r="N50" s="1" t="s">
        <v>476</v>
      </c>
      <c r="O50" s="1" t="s">
        <v>108</v>
      </c>
      <c r="P50" s="1" t="s">
        <v>109</v>
      </c>
      <c r="Q50" s="1">
        <v>8</v>
      </c>
      <c r="R50" s="1">
        <v>1200</v>
      </c>
      <c r="S50" s="1">
        <v>20</v>
      </c>
      <c r="T50" s="1">
        <v>13.34</v>
      </c>
      <c r="U50" s="1">
        <v>7693.34</v>
      </c>
      <c r="V50" s="1"/>
      <c r="W50" s="1" t="s">
        <v>94</v>
      </c>
      <c r="X50" s="1" t="s">
        <v>73</v>
      </c>
      <c r="Y50" s="1" t="s">
        <v>226</v>
      </c>
      <c r="Z50" s="1" t="s">
        <v>477</v>
      </c>
      <c r="AA50" s="1" t="s">
        <v>478</v>
      </c>
      <c r="AB50" s="1"/>
      <c r="AC50" s="1" t="s">
        <v>133</v>
      </c>
      <c r="AD50" s="1">
        <v>4</v>
      </c>
      <c r="AE50" s="1"/>
      <c r="AF50" s="1"/>
      <c r="AG50" s="1"/>
      <c r="AH50" s="11" t="str">
        <f t="shared" si="0"/>
        <v>6558</v>
      </c>
      <c r="AI50" s="11">
        <f t="shared" si="1"/>
        <v>4</v>
      </c>
      <c r="AJ50" s="11" t="str">
        <f t="shared" si="2"/>
        <v>Good</v>
      </c>
      <c r="AK50" s="11" t="str">
        <f t="shared" si="3"/>
        <v>O0049 - Phone - Jordan</v>
      </c>
      <c r="AL50" s="11" t="e">
        <f t="shared" si="4"/>
        <v>#VALUE!</v>
      </c>
      <c r="AM50" s="11" t="e">
        <f t="shared" si="5"/>
        <v>#VALUE!</v>
      </c>
      <c r="AN50" s="11" t="str">
        <f t="shared" si="6"/>
        <v>Late</v>
      </c>
      <c r="AO50" s="11" t="str">
        <f t="shared" si="7"/>
        <v>Silver</v>
      </c>
      <c r="AP50" s="12" t="str">
        <f t="shared" si="14"/>
        <v>Low</v>
      </c>
      <c r="AV50" s="11" t="str">
        <f t="shared" si="8"/>
        <v>Not Numeric</v>
      </c>
      <c r="AW50" s="11" t="str">
        <f t="shared" si="9"/>
        <v>Text</v>
      </c>
      <c r="AX50" s="11" t="str">
        <f t="shared" si="10"/>
        <v>Blank</v>
      </c>
      <c r="AY50" s="11" t="str">
        <f t="shared" si="11"/>
        <v>Missing Email</v>
      </c>
      <c r="AZ50" s="12" t="str">
        <f t="shared" si="12"/>
        <v>Late</v>
      </c>
      <c r="BA50" s="11" t="str">
        <f t="shared" si="13"/>
        <v>Low Risk</v>
      </c>
      <c r="BB50" s="12" t="str">
        <f>_xlfn.LET(_xlpm.Category,_xlfn.XLOOKUP(I49,[1]Products_Lookup!A:A,[1]Products_Lookup!B:B,"Not Found"),IF(AND(_xlpm.Category="Electronics",U49&gt;4000),"High Tech Revenue",IF(AND(_xlpm.Category="Furniture",U49&gt;2000),"Premium Furniture","Standard Product")))</f>
        <v>Standard Product</v>
      </c>
    </row>
    <row r="51" spans="1:54" ht="17" x14ac:dyDescent="0.2">
      <c r="A51" s="1" t="s">
        <v>479</v>
      </c>
      <c r="B51" s="1" t="s">
        <v>480</v>
      </c>
      <c r="C51" s="1" t="s">
        <v>481</v>
      </c>
      <c r="D51" s="1" t="s">
        <v>482</v>
      </c>
      <c r="E51" s="1" t="s">
        <v>483</v>
      </c>
      <c r="F51" s="1" t="s">
        <v>138</v>
      </c>
      <c r="G51" s="1" t="s">
        <v>139</v>
      </c>
      <c r="H51" s="1" t="s">
        <v>64</v>
      </c>
      <c r="I51" s="1" t="s">
        <v>102</v>
      </c>
      <c r="J51" s="1" t="s">
        <v>103</v>
      </c>
      <c r="K51" s="1" t="s">
        <v>104</v>
      </c>
      <c r="L51" s="1" t="s">
        <v>105</v>
      </c>
      <c r="M51" s="1" t="s">
        <v>484</v>
      </c>
      <c r="N51" s="1" t="s">
        <v>485</v>
      </c>
      <c r="O51" s="1" t="s">
        <v>71</v>
      </c>
      <c r="P51" s="1" t="s">
        <v>48</v>
      </c>
      <c r="Q51" s="1">
        <v>2</v>
      </c>
      <c r="R51" s="1">
        <v>900</v>
      </c>
      <c r="S51" s="1">
        <v>20</v>
      </c>
      <c r="T51" s="1">
        <v>8.24</v>
      </c>
      <c r="U51" s="1">
        <v>1448.24</v>
      </c>
      <c r="V51" s="1">
        <v>1</v>
      </c>
      <c r="W51" s="1" t="s">
        <v>94</v>
      </c>
      <c r="X51" s="1" t="s">
        <v>50</v>
      </c>
      <c r="Y51" s="1" t="s">
        <v>110</v>
      </c>
      <c r="Z51" s="1" t="s">
        <v>486</v>
      </c>
      <c r="AA51" s="1" t="s">
        <v>487</v>
      </c>
      <c r="AB51" s="1"/>
      <c r="AC51" s="1" t="s">
        <v>55</v>
      </c>
      <c r="AD51" s="1">
        <v>4</v>
      </c>
      <c r="AE51" s="1"/>
      <c r="AF51" s="1" t="s">
        <v>113</v>
      </c>
      <c r="AG51" s="1" t="s">
        <v>78</v>
      </c>
      <c r="AH51" s="11" t="str">
        <f t="shared" si="0"/>
        <v>0439</v>
      </c>
      <c r="AI51" s="11">
        <f t="shared" si="1"/>
        <v>0</v>
      </c>
      <c r="AJ51" s="11" t="str">
        <f t="shared" si="2"/>
        <v/>
      </c>
      <c r="AK51" s="11" t="str">
        <f t="shared" si="3"/>
        <v>O0050 - Laptop - Saudi Arabia</v>
      </c>
      <c r="AL51" s="11">
        <f t="shared" si="4"/>
        <v>8</v>
      </c>
      <c r="AM51" s="11">
        <f t="shared" si="5"/>
        <v>8</v>
      </c>
      <c r="AN51" s="11" t="str">
        <f t="shared" si="6"/>
        <v>Late</v>
      </c>
      <c r="AO51" s="11" t="str">
        <f t="shared" si="7"/>
        <v>Platinum</v>
      </c>
      <c r="AP51" s="12" t="str">
        <f t="shared" si="14"/>
        <v>Low</v>
      </c>
      <c r="AV51" s="11" t="str">
        <f t="shared" si="8"/>
        <v>Valid Number</v>
      </c>
      <c r="AW51" s="11" t="str">
        <f t="shared" si="9"/>
        <v>Not Text</v>
      </c>
      <c r="AX51" s="11" t="str">
        <f t="shared" si="10"/>
        <v>Not Blank</v>
      </c>
      <c r="AY51" s="11" t="str">
        <f t="shared" si="11"/>
        <v>Needs Cleaning</v>
      </c>
      <c r="AZ51" s="12" t="str">
        <f t="shared" si="12"/>
        <v>Critical Delay</v>
      </c>
      <c r="BA51" s="11" t="str">
        <f t="shared" si="13"/>
        <v>Unknown</v>
      </c>
      <c r="BB51" s="12" t="str">
        <f>_xlfn.LET(_xlpm.Category,_xlfn.XLOOKUP(I50,[1]Products_Lookup!A:A,[1]Products_Lookup!B:B,"Not Found"),IF(AND(_xlpm.Category="Electronics",U50&gt;4000),"High Tech Revenue",IF(AND(_xlpm.Category="Furniture",U50&gt;2000),"Premium Furniture","Standard Product")))</f>
        <v>Standard Product</v>
      </c>
    </row>
    <row r="52" spans="1:54" ht="17" x14ac:dyDescent="0.2">
      <c r="A52" s="1" t="s">
        <v>488</v>
      </c>
      <c r="B52" s="1" t="s">
        <v>489</v>
      </c>
      <c r="C52" s="1" t="s">
        <v>490</v>
      </c>
      <c r="D52" s="1" t="s">
        <v>491</v>
      </c>
      <c r="E52" s="1" t="s">
        <v>37</v>
      </c>
      <c r="F52" s="1" t="s">
        <v>38</v>
      </c>
      <c r="G52" s="1" t="s">
        <v>39</v>
      </c>
      <c r="H52" s="1" t="s">
        <v>40</v>
      </c>
      <c r="I52" s="1" t="s">
        <v>41</v>
      </c>
      <c r="J52" s="1" t="s">
        <v>42</v>
      </c>
      <c r="K52" s="1" t="s">
        <v>43</v>
      </c>
      <c r="L52" s="1" t="s">
        <v>44</v>
      </c>
      <c r="M52" s="1" t="s">
        <v>492</v>
      </c>
      <c r="N52" s="1" t="s">
        <v>388</v>
      </c>
      <c r="O52" s="1" t="s">
        <v>108</v>
      </c>
      <c r="P52" s="1" t="s">
        <v>109</v>
      </c>
      <c r="Q52" s="1">
        <v>9</v>
      </c>
      <c r="R52" s="1">
        <v>150</v>
      </c>
      <c r="S52" s="1">
        <v>5</v>
      </c>
      <c r="T52" s="1">
        <v>5.4</v>
      </c>
      <c r="U52" s="1">
        <v>1287.9000000000001</v>
      </c>
      <c r="V52" s="1">
        <v>5</v>
      </c>
      <c r="W52" s="1" t="s">
        <v>94</v>
      </c>
      <c r="X52" s="1"/>
      <c r="Y52" s="1" t="s">
        <v>91</v>
      </c>
      <c r="Z52" s="1" t="s">
        <v>493</v>
      </c>
      <c r="AA52" s="1" t="s">
        <v>494</v>
      </c>
      <c r="AB52" s="1" t="s">
        <v>192</v>
      </c>
      <c r="AC52" s="1" t="s">
        <v>55</v>
      </c>
      <c r="AD52" s="1">
        <v>4</v>
      </c>
      <c r="AE52" s="1" t="s">
        <v>56</v>
      </c>
      <c r="AF52" s="1" t="s">
        <v>113</v>
      </c>
      <c r="AG52" s="1" t="s">
        <v>57</v>
      </c>
      <c r="AH52" s="11" t="str">
        <f t="shared" si="0"/>
        <v>0211</v>
      </c>
      <c r="AI52" s="11">
        <f t="shared" si="1"/>
        <v>0</v>
      </c>
      <c r="AJ52" s="11" t="str">
        <f t="shared" si="2"/>
        <v/>
      </c>
      <c r="AK52" s="11" t="str">
        <f t="shared" si="3"/>
        <v>O0051 - Phone - UAE</v>
      </c>
      <c r="AL52" s="11">
        <f t="shared" si="4"/>
        <v>7</v>
      </c>
      <c r="AM52" s="11">
        <f t="shared" si="5"/>
        <v>2</v>
      </c>
      <c r="AN52" s="11" t="str">
        <f t="shared" si="6"/>
        <v>Late</v>
      </c>
      <c r="AO52" s="11" t="str">
        <f t="shared" si="7"/>
        <v>Silver</v>
      </c>
      <c r="AP52" s="12" t="str">
        <f t="shared" si="14"/>
        <v>Low</v>
      </c>
      <c r="AV52" s="11" t="str">
        <f t="shared" si="8"/>
        <v>Valid Number</v>
      </c>
      <c r="AW52" s="11" t="str">
        <f t="shared" si="9"/>
        <v>Not Text</v>
      </c>
      <c r="AX52" s="11" t="str">
        <f t="shared" si="10"/>
        <v>Not Blank</v>
      </c>
      <c r="AY52" s="11" t="str">
        <f t="shared" si="11"/>
        <v>Valid</v>
      </c>
      <c r="AZ52" s="12" t="str">
        <f t="shared" si="12"/>
        <v>Late</v>
      </c>
      <c r="BA52" s="11" t="str">
        <f t="shared" si="13"/>
        <v>Unknown</v>
      </c>
      <c r="BB52" s="12" t="str">
        <f>_xlfn.LET(_xlpm.Category,_xlfn.XLOOKUP(I51,[1]Products_Lookup!A:A,[1]Products_Lookup!B:B,"Not Found"),IF(AND(_xlpm.Category="Electronics",U51&gt;4000),"High Tech Revenue",IF(AND(_xlpm.Category="Furniture",U51&gt;2000),"Premium Furniture","Standard Product")))</f>
        <v>Standard Product</v>
      </c>
    </row>
    <row r="53" spans="1:54" ht="17" x14ac:dyDescent="0.2">
      <c r="A53" s="1" t="s">
        <v>495</v>
      </c>
      <c r="B53" s="1" t="s">
        <v>496</v>
      </c>
      <c r="C53" s="1" t="s">
        <v>497</v>
      </c>
      <c r="D53" s="1" t="s">
        <v>498</v>
      </c>
      <c r="E53" s="1" t="s">
        <v>83</v>
      </c>
      <c r="F53" s="1" t="s">
        <v>99</v>
      </c>
      <c r="G53" s="1" t="s">
        <v>100</v>
      </c>
      <c r="H53" s="1" t="s">
        <v>101</v>
      </c>
      <c r="I53" s="1" t="s">
        <v>65</v>
      </c>
      <c r="J53" s="1" t="s">
        <v>66</v>
      </c>
      <c r="K53" s="1" t="s">
        <v>67</v>
      </c>
      <c r="L53" s="1" t="s">
        <v>68</v>
      </c>
      <c r="M53" s="1" t="s">
        <v>107</v>
      </c>
      <c r="N53" s="1" t="s">
        <v>449</v>
      </c>
      <c r="O53" s="1" t="s">
        <v>108</v>
      </c>
      <c r="P53" s="1" t="s">
        <v>48</v>
      </c>
      <c r="Q53" s="1">
        <v>8</v>
      </c>
      <c r="R53" s="1">
        <v>220</v>
      </c>
      <c r="S53" s="1">
        <v>5</v>
      </c>
      <c r="T53" s="1">
        <v>6.29</v>
      </c>
      <c r="U53" s="1">
        <v>1678.29</v>
      </c>
      <c r="V53" s="1">
        <v>1</v>
      </c>
      <c r="W53" s="1" t="s">
        <v>49</v>
      </c>
      <c r="X53" s="1" t="s">
        <v>141</v>
      </c>
      <c r="Y53" s="1" t="s">
        <v>236</v>
      </c>
      <c r="Z53" s="1" t="s">
        <v>499</v>
      </c>
      <c r="AA53" s="1" t="s">
        <v>500</v>
      </c>
      <c r="AB53" s="1" t="s">
        <v>192</v>
      </c>
      <c r="AC53" s="1" t="s">
        <v>133</v>
      </c>
      <c r="AD53" s="1">
        <v>1</v>
      </c>
      <c r="AE53" s="1" t="s">
        <v>94</v>
      </c>
      <c r="AF53" s="1"/>
      <c r="AG53" s="1" t="s">
        <v>57</v>
      </c>
      <c r="AH53" s="11" t="str">
        <f t="shared" si="0"/>
        <v>7320</v>
      </c>
      <c r="AI53" s="11">
        <f t="shared" si="1"/>
        <v>15</v>
      </c>
      <c r="AJ53" s="11" t="str">
        <f t="shared" si="2"/>
        <v>Late delivery</v>
      </c>
      <c r="AK53" s="11" t="str">
        <f t="shared" si="3"/>
        <v>O0052 - Headphones - Jordan</v>
      </c>
      <c r="AL53" s="11">
        <f t="shared" si="4"/>
        <v>7</v>
      </c>
      <c r="AM53" s="11">
        <f t="shared" si="5"/>
        <v>9</v>
      </c>
      <c r="AN53" s="11" t="str">
        <f t="shared" si="6"/>
        <v>Late</v>
      </c>
      <c r="AO53" s="11" t="str">
        <f t="shared" si="7"/>
        <v>Silver</v>
      </c>
      <c r="AP53" s="12" t="str">
        <f t="shared" si="14"/>
        <v>Critical</v>
      </c>
      <c r="AV53" s="11" t="str">
        <f t="shared" si="8"/>
        <v>Valid Number</v>
      </c>
      <c r="AW53" s="11" t="str">
        <f t="shared" si="9"/>
        <v>Text</v>
      </c>
      <c r="AX53" s="11" t="str">
        <f t="shared" si="10"/>
        <v>Not Blank</v>
      </c>
      <c r="AY53" s="11" t="str">
        <f t="shared" si="11"/>
        <v>Valid</v>
      </c>
      <c r="AZ53" s="12" t="str">
        <f t="shared" si="12"/>
        <v>Late</v>
      </c>
      <c r="BA53" s="11" t="str">
        <f t="shared" si="13"/>
        <v>Low Risk</v>
      </c>
      <c r="BB53" s="12" t="str">
        <f>_xlfn.LET(_xlpm.Category,_xlfn.XLOOKUP(I52,[1]Products_Lookup!A:A,[1]Products_Lookup!B:B,"Not Found"),IF(AND(_xlpm.Category="Electronics",U52&gt;4000),"High Tech Revenue",IF(AND(_xlpm.Category="Furniture",U52&gt;2000),"Premium Furniture","Standard Product")))</f>
        <v>Standard Product</v>
      </c>
    </row>
    <row r="54" spans="1:54" ht="17" x14ac:dyDescent="0.2">
      <c r="A54" s="1" t="s">
        <v>501</v>
      </c>
      <c r="B54" s="1" t="s">
        <v>502</v>
      </c>
      <c r="C54" s="1" t="s">
        <v>503</v>
      </c>
      <c r="D54" s="1" t="s">
        <v>504</v>
      </c>
      <c r="E54" s="1" t="s">
        <v>83</v>
      </c>
      <c r="F54" s="1" t="s">
        <v>99</v>
      </c>
      <c r="G54" s="1" t="s">
        <v>100</v>
      </c>
      <c r="H54" s="1" t="s">
        <v>101</v>
      </c>
      <c r="I54" s="1" t="s">
        <v>41</v>
      </c>
      <c r="J54" s="1" t="s">
        <v>42</v>
      </c>
      <c r="K54" s="1" t="s">
        <v>43</v>
      </c>
      <c r="L54" s="1" t="s">
        <v>44</v>
      </c>
      <c r="M54" s="1" t="s">
        <v>46</v>
      </c>
      <c r="N54" s="1" t="s">
        <v>505</v>
      </c>
      <c r="O54" s="1" t="s">
        <v>47</v>
      </c>
      <c r="P54" s="1" t="s">
        <v>109</v>
      </c>
      <c r="Q54" s="1">
        <v>10</v>
      </c>
      <c r="R54" s="1">
        <v>150</v>
      </c>
      <c r="S54" s="1">
        <v>5</v>
      </c>
      <c r="T54" s="1">
        <v>3.96</v>
      </c>
      <c r="U54" s="1">
        <v>1428.96</v>
      </c>
      <c r="V54" s="1">
        <v>5</v>
      </c>
      <c r="W54" s="1" t="s">
        <v>72</v>
      </c>
      <c r="X54" s="1"/>
      <c r="Y54" s="1" t="s">
        <v>349</v>
      </c>
      <c r="Z54" s="1" t="s">
        <v>506</v>
      </c>
      <c r="AA54" s="1" t="s">
        <v>507</v>
      </c>
      <c r="AB54" s="1" t="s">
        <v>192</v>
      </c>
      <c r="AC54" s="1" t="s">
        <v>55</v>
      </c>
      <c r="AD54" s="1">
        <v>4</v>
      </c>
      <c r="AE54" s="1"/>
      <c r="AF54" s="1" t="e">
        <v>#VALUE!</v>
      </c>
      <c r="AG54" s="1"/>
      <c r="AH54" s="11" t="str">
        <f t="shared" si="0"/>
        <v>2414</v>
      </c>
      <c r="AI54" s="11">
        <f t="shared" si="1"/>
        <v>15</v>
      </c>
      <c r="AJ54" s="11" t="str">
        <f t="shared" si="2"/>
        <v>Late delivery</v>
      </c>
      <c r="AK54" s="11" t="str">
        <f t="shared" si="3"/>
        <v>O0053 - Desk Chair - Egypt</v>
      </c>
      <c r="AL54" s="11" t="e">
        <f t="shared" si="4"/>
        <v>#VALUE!</v>
      </c>
      <c r="AM54" s="11">
        <f t="shared" si="5"/>
        <v>8</v>
      </c>
      <c r="AN54" s="11" t="str">
        <f t="shared" si="6"/>
        <v>On Time</v>
      </c>
      <c r="AO54" s="11" t="str">
        <f t="shared" si="7"/>
        <v>Silver</v>
      </c>
      <c r="AP54" s="12" t="str">
        <f t="shared" si="14"/>
        <v>Low</v>
      </c>
      <c r="AV54" s="11" t="str">
        <f t="shared" si="8"/>
        <v>Valid Number</v>
      </c>
      <c r="AW54" s="11" t="str">
        <f t="shared" si="9"/>
        <v>Text</v>
      </c>
      <c r="AX54" s="11" t="str">
        <f t="shared" si="10"/>
        <v>Not Blank</v>
      </c>
      <c r="AY54" s="11" t="str">
        <f t="shared" si="11"/>
        <v>Invalid Email</v>
      </c>
      <c r="AZ54" s="12" t="str">
        <f t="shared" si="12"/>
        <v>Returned Order</v>
      </c>
      <c r="BA54" s="11" t="str">
        <f t="shared" si="13"/>
        <v>Unknown</v>
      </c>
      <c r="BB54" s="12" t="str">
        <f>_xlfn.LET(_xlpm.Category,_xlfn.XLOOKUP(I53,[1]Products_Lookup!A:A,[1]Products_Lookup!B:B,"Not Found"),IF(AND(_xlpm.Category="Electronics",U53&gt;4000),"High Tech Revenue",IF(AND(_xlpm.Category="Furniture",U53&gt;2000),"Premium Furniture","Standard Product")))</f>
        <v>Standard Product</v>
      </c>
    </row>
    <row r="55" spans="1:54" ht="17" x14ac:dyDescent="0.2">
      <c r="A55" s="1" t="s">
        <v>508</v>
      </c>
      <c r="B55" s="1" t="s">
        <v>509</v>
      </c>
      <c r="C55" s="1" t="s">
        <v>510</v>
      </c>
      <c r="D55" s="1"/>
      <c r="E55" s="1" t="s">
        <v>83</v>
      </c>
      <c r="F55" s="1" t="s">
        <v>62</v>
      </c>
      <c r="G55" s="1" t="s">
        <v>63</v>
      </c>
      <c r="H55" s="1" t="s">
        <v>64</v>
      </c>
      <c r="I55" s="1" t="s">
        <v>149</v>
      </c>
      <c r="J55" s="1" t="s">
        <v>150</v>
      </c>
      <c r="K55" s="1" t="s">
        <v>104</v>
      </c>
      <c r="L55" s="1" t="s">
        <v>151</v>
      </c>
      <c r="M55" s="1" t="s">
        <v>253</v>
      </c>
      <c r="N55" s="1" t="s">
        <v>412</v>
      </c>
      <c r="O55" s="1" t="s">
        <v>47</v>
      </c>
      <c r="P55" s="1" t="s">
        <v>154</v>
      </c>
      <c r="Q55" s="1" t="s">
        <v>37</v>
      </c>
      <c r="R55" s="1">
        <v>1200</v>
      </c>
      <c r="S55" s="1">
        <v>5</v>
      </c>
      <c r="T55" s="1">
        <v>13.2</v>
      </c>
      <c r="U55" s="1">
        <v>7993.2</v>
      </c>
      <c r="V55" s="1"/>
      <c r="W55" s="1" t="s">
        <v>94</v>
      </c>
      <c r="X55" s="1" t="s">
        <v>50</v>
      </c>
      <c r="Y55" s="1" t="s">
        <v>74</v>
      </c>
      <c r="Z55" s="1" t="s">
        <v>278</v>
      </c>
      <c r="AA55" s="1" t="s">
        <v>511</v>
      </c>
      <c r="AB55" s="1" t="s">
        <v>132</v>
      </c>
      <c r="AC55" s="1" t="s">
        <v>55</v>
      </c>
      <c r="AD55" s="1">
        <v>4</v>
      </c>
      <c r="AE55" s="1" t="s">
        <v>77</v>
      </c>
      <c r="AF55" s="1"/>
      <c r="AG55" s="1"/>
      <c r="AH55" s="11" t="str">
        <f t="shared" si="0"/>
        <v>9444</v>
      </c>
      <c r="AI55" s="11">
        <f t="shared" si="1"/>
        <v>15</v>
      </c>
      <c r="AJ55" s="11" t="str">
        <f t="shared" si="2"/>
        <v>Late delivery</v>
      </c>
      <c r="AK55" s="11" t="str">
        <f t="shared" si="3"/>
        <v>O0054 - Headphones - Egypt</v>
      </c>
      <c r="AL55" s="11">
        <f t="shared" si="4"/>
        <v>8</v>
      </c>
      <c r="AM55" s="11">
        <f t="shared" si="5"/>
        <v>10</v>
      </c>
      <c r="AN55" s="11" t="str">
        <f t="shared" si="6"/>
        <v>On Time</v>
      </c>
      <c r="AO55" s="11" t="str">
        <f t="shared" si="7"/>
        <v>Silver</v>
      </c>
      <c r="AP55" s="12" t="str">
        <f t="shared" si="14"/>
        <v>Low</v>
      </c>
      <c r="AV55" s="11" t="str">
        <f t="shared" si="8"/>
        <v>Valid Number</v>
      </c>
      <c r="AW55" s="11" t="str">
        <f t="shared" si="9"/>
        <v>Text</v>
      </c>
      <c r="AX55" s="11" t="str">
        <f t="shared" si="10"/>
        <v>Blank</v>
      </c>
      <c r="AY55" s="11" t="str">
        <f t="shared" si="11"/>
        <v>Needs Cleaning</v>
      </c>
      <c r="AZ55" s="12" t="str">
        <f t="shared" si="12"/>
        <v>On Time</v>
      </c>
      <c r="BA55" s="11" t="str">
        <f t="shared" si="13"/>
        <v>Low Risk</v>
      </c>
      <c r="BB55" s="12" t="str">
        <f>_xlfn.LET(_xlpm.Category,_xlfn.XLOOKUP(I54,[1]Products_Lookup!A:A,[1]Products_Lookup!B:B,"Not Found"),IF(AND(_xlpm.Category="Electronics",U54&gt;4000),"High Tech Revenue",IF(AND(_xlpm.Category="Furniture",U54&gt;2000),"Premium Furniture","Standard Product")))</f>
        <v>Standard Product</v>
      </c>
    </row>
    <row r="56" spans="1:54" ht="17" x14ac:dyDescent="0.2">
      <c r="A56" s="1" t="s">
        <v>512</v>
      </c>
      <c r="B56" s="1" t="s">
        <v>513</v>
      </c>
      <c r="C56" s="1" t="s">
        <v>514</v>
      </c>
      <c r="D56" s="1"/>
      <c r="E56" s="1" t="s">
        <v>83</v>
      </c>
      <c r="F56" s="1" t="s">
        <v>138</v>
      </c>
      <c r="G56" s="1" t="s">
        <v>139</v>
      </c>
      <c r="H56" s="1" t="s">
        <v>64</v>
      </c>
      <c r="I56" s="1" t="s">
        <v>41</v>
      </c>
      <c r="J56" s="1" t="s">
        <v>42</v>
      </c>
      <c r="K56" s="1" t="s">
        <v>43</v>
      </c>
      <c r="L56" s="1" t="s">
        <v>44</v>
      </c>
      <c r="M56" s="1" t="s">
        <v>119</v>
      </c>
      <c r="N56" s="1" t="s">
        <v>427</v>
      </c>
      <c r="O56" s="1" t="s">
        <v>71</v>
      </c>
      <c r="P56" s="1" t="s">
        <v>48</v>
      </c>
      <c r="Q56" s="1" t="s">
        <v>37</v>
      </c>
      <c r="R56" s="1">
        <v>150</v>
      </c>
      <c r="S56" s="1">
        <v>15</v>
      </c>
      <c r="T56" s="1">
        <v>7.84</v>
      </c>
      <c r="U56" s="1">
        <v>1155.3399999999999</v>
      </c>
      <c r="V56" s="1"/>
      <c r="W56" s="1" t="s">
        <v>49</v>
      </c>
      <c r="X56" s="1" t="s">
        <v>141</v>
      </c>
      <c r="Y56" s="1" t="s">
        <v>515</v>
      </c>
      <c r="Z56" s="1" t="s">
        <v>516</v>
      </c>
      <c r="AA56" s="1" t="s">
        <v>517</v>
      </c>
      <c r="AB56" s="1" t="s">
        <v>192</v>
      </c>
      <c r="AC56" s="1" t="s">
        <v>133</v>
      </c>
      <c r="AD56" s="1">
        <v>2</v>
      </c>
      <c r="AE56" s="1" t="s">
        <v>94</v>
      </c>
      <c r="AF56" s="1" t="s">
        <v>113</v>
      </c>
      <c r="AG56" s="1" t="s">
        <v>57</v>
      </c>
      <c r="AH56" s="11" t="str">
        <f t="shared" si="0"/>
        <v>0582</v>
      </c>
      <c r="AI56" s="11">
        <f t="shared" si="1"/>
        <v>17</v>
      </c>
      <c r="AJ56" s="11" t="str">
        <f t="shared" si="2"/>
        <v>Excellent service</v>
      </c>
      <c r="AK56" s="11" t="str">
        <f t="shared" si="3"/>
        <v>O0055 - Laptop - Saudi Arabia</v>
      </c>
      <c r="AL56" s="11" t="e">
        <f t="shared" si="4"/>
        <v>#VALUE!</v>
      </c>
      <c r="AM56" s="11" t="e">
        <f t="shared" si="5"/>
        <v>#VALUE!</v>
      </c>
      <c r="AN56" s="11" t="str">
        <f t="shared" si="6"/>
        <v>Late</v>
      </c>
      <c r="AO56" s="11" t="str">
        <f t="shared" si="7"/>
        <v>Platinum</v>
      </c>
      <c r="AP56" s="12" t="str">
        <f t="shared" si="14"/>
        <v>High</v>
      </c>
      <c r="AV56" s="11" t="str">
        <f t="shared" si="8"/>
        <v>Not Numeric</v>
      </c>
      <c r="AW56" s="11" t="str">
        <f t="shared" si="9"/>
        <v>Text</v>
      </c>
      <c r="AX56" s="11" t="str">
        <f t="shared" si="10"/>
        <v>Blank</v>
      </c>
      <c r="AY56" s="11" t="str">
        <f t="shared" si="11"/>
        <v>Missing Email</v>
      </c>
      <c r="AZ56" s="12" t="str">
        <f t="shared" si="12"/>
        <v>Critical Delay</v>
      </c>
      <c r="BA56" s="11" t="str">
        <f t="shared" si="13"/>
        <v>Unknown</v>
      </c>
      <c r="BB56" s="12" t="str">
        <f>_xlfn.LET(_xlpm.Category,_xlfn.XLOOKUP(I55,[1]Products_Lookup!A:A,[1]Products_Lookup!B:B,"Not Found"),IF(AND(_xlpm.Category="Electronics",U55&gt;4000),"High Tech Revenue",IF(AND(_xlpm.Category="Furniture",U55&gt;2000),"Premium Furniture","Standard Product")))</f>
        <v>Standard Product</v>
      </c>
    </row>
    <row r="57" spans="1:54" ht="17" x14ac:dyDescent="0.2">
      <c r="A57" s="1" t="s">
        <v>518</v>
      </c>
      <c r="B57" s="1" t="s">
        <v>519</v>
      </c>
      <c r="C57" s="1" t="s">
        <v>520</v>
      </c>
      <c r="D57" s="1" t="s">
        <v>521</v>
      </c>
      <c r="E57" s="1" t="s">
        <v>83</v>
      </c>
      <c r="F57" s="1" t="s">
        <v>38</v>
      </c>
      <c r="G57" s="1" t="s">
        <v>39</v>
      </c>
      <c r="H57" s="1" t="s">
        <v>40</v>
      </c>
      <c r="I57" s="1" t="s">
        <v>41</v>
      </c>
      <c r="J57" s="1" t="s">
        <v>42</v>
      </c>
      <c r="K57" s="1" t="s">
        <v>43</v>
      </c>
      <c r="L57" s="1" t="s">
        <v>44</v>
      </c>
      <c r="M57" s="1" t="s">
        <v>253</v>
      </c>
      <c r="N57" s="1" t="s">
        <v>412</v>
      </c>
      <c r="O57" s="1" t="s">
        <v>108</v>
      </c>
      <c r="P57" s="1" t="s">
        <v>109</v>
      </c>
      <c r="Q57" s="1">
        <v>9</v>
      </c>
      <c r="R57" s="1">
        <v>150</v>
      </c>
      <c r="S57" s="1">
        <v>5</v>
      </c>
      <c r="T57" s="1">
        <v>16.54</v>
      </c>
      <c r="U57" s="1">
        <v>1299.04</v>
      </c>
      <c r="V57" s="1">
        <v>4</v>
      </c>
      <c r="W57" s="1" t="s">
        <v>72</v>
      </c>
      <c r="X57" s="1" t="s">
        <v>73</v>
      </c>
      <c r="Y57" s="1" t="s">
        <v>334</v>
      </c>
      <c r="Z57" s="1" t="s">
        <v>522</v>
      </c>
      <c r="AA57" s="1" t="s">
        <v>523</v>
      </c>
      <c r="AB57" s="1" t="s">
        <v>54</v>
      </c>
      <c r="AC57" s="1" t="s">
        <v>55</v>
      </c>
      <c r="AD57" s="1">
        <v>3</v>
      </c>
      <c r="AE57" s="1" t="s">
        <v>94</v>
      </c>
      <c r="AF57" s="1" t="e">
        <v>#N/A</v>
      </c>
      <c r="AG57" s="1" t="s">
        <v>57</v>
      </c>
      <c r="AH57" s="11" t="str">
        <f t="shared" si="0"/>
        <v>3622</v>
      </c>
      <c r="AI57" s="11">
        <f t="shared" si="1"/>
        <v>15</v>
      </c>
      <c r="AJ57" s="11" t="str">
        <f t="shared" si="2"/>
        <v>Late delivery</v>
      </c>
      <c r="AK57" s="11" t="str">
        <f t="shared" si="3"/>
        <v>O0056 - Headphones - UAE</v>
      </c>
      <c r="AL57" s="11" t="e">
        <f t="shared" si="4"/>
        <v>#VALUE!</v>
      </c>
      <c r="AM57" s="11" t="e">
        <f t="shared" si="5"/>
        <v>#VALUE!</v>
      </c>
      <c r="AN57" s="11" t="str">
        <f t="shared" si="6"/>
        <v>Late</v>
      </c>
      <c r="AO57" s="11" t="str">
        <f t="shared" si="7"/>
        <v>Silver</v>
      </c>
      <c r="AP57" s="12" t="str">
        <f t="shared" si="14"/>
        <v>Medium</v>
      </c>
      <c r="AV57" s="11" t="str">
        <f t="shared" si="8"/>
        <v>Not Numeric</v>
      </c>
      <c r="AW57" s="11" t="str">
        <f t="shared" si="9"/>
        <v>Text</v>
      </c>
      <c r="AX57" s="11" t="str">
        <f t="shared" si="10"/>
        <v>Not Blank</v>
      </c>
      <c r="AY57" s="11" t="str">
        <f t="shared" si="11"/>
        <v>Missing Email</v>
      </c>
      <c r="AZ57" s="12" t="str">
        <f t="shared" si="12"/>
        <v>Returned Order</v>
      </c>
      <c r="BA57" s="11" t="str">
        <f t="shared" si="13"/>
        <v>Unknown</v>
      </c>
      <c r="BB57" s="12" t="str">
        <f>_xlfn.LET(_xlpm.Category,_xlfn.XLOOKUP(I56,[1]Products_Lookup!A:A,[1]Products_Lookup!B:B,"Not Found"),IF(AND(_xlpm.Category="Electronics",U56&gt;4000),"High Tech Revenue",IF(AND(_xlpm.Category="Furniture",U56&gt;2000),"Premium Furniture","Standard Product")))</f>
        <v>Standard Product</v>
      </c>
    </row>
    <row r="58" spans="1:54" ht="17" x14ac:dyDescent="0.2">
      <c r="A58" s="1" t="s">
        <v>524</v>
      </c>
      <c r="B58" s="1" t="s">
        <v>525</v>
      </c>
      <c r="C58" s="1" t="s">
        <v>526</v>
      </c>
      <c r="D58" s="1" t="s">
        <v>527</v>
      </c>
      <c r="E58" s="1" t="s">
        <v>37</v>
      </c>
      <c r="F58" s="1" t="s">
        <v>62</v>
      </c>
      <c r="G58" s="1" t="s">
        <v>63</v>
      </c>
      <c r="H58" s="1" t="s">
        <v>64</v>
      </c>
      <c r="I58" s="1" t="s">
        <v>84</v>
      </c>
      <c r="J58" s="1" t="s">
        <v>85</v>
      </c>
      <c r="K58" s="1" t="s">
        <v>86</v>
      </c>
      <c r="L58" s="1" t="s">
        <v>87</v>
      </c>
      <c r="M58" s="1" t="s">
        <v>373</v>
      </c>
      <c r="N58" s="1" t="s">
        <v>180</v>
      </c>
      <c r="O58" s="1" t="s">
        <v>71</v>
      </c>
      <c r="P58" s="1" t="s">
        <v>109</v>
      </c>
      <c r="Q58" s="1">
        <v>7</v>
      </c>
      <c r="R58" s="1">
        <v>340</v>
      </c>
      <c r="S58" s="1">
        <v>10</v>
      </c>
      <c r="T58" s="1">
        <v>14.97</v>
      </c>
      <c r="U58" s="1">
        <v>2156.9699999999998</v>
      </c>
      <c r="V58" s="1">
        <v>4</v>
      </c>
      <c r="W58" s="1" t="s">
        <v>49</v>
      </c>
      <c r="X58" s="1" t="s">
        <v>50</v>
      </c>
      <c r="Y58" s="1" t="s">
        <v>172</v>
      </c>
      <c r="Z58" s="1" t="s">
        <v>528</v>
      </c>
      <c r="AA58" s="1" t="s">
        <v>529</v>
      </c>
      <c r="AB58" s="1"/>
      <c r="AC58" s="1" t="s">
        <v>55</v>
      </c>
      <c r="AD58" s="1">
        <v>1</v>
      </c>
      <c r="AE58" s="1"/>
      <c r="AF58" s="1" t="s">
        <v>113</v>
      </c>
      <c r="AG58" s="1" t="s">
        <v>78</v>
      </c>
      <c r="AH58" s="11" t="str">
        <f t="shared" si="0"/>
        <v>3796</v>
      </c>
      <c r="AI58" s="11">
        <f t="shared" si="1"/>
        <v>4</v>
      </c>
      <c r="AJ58" s="11" t="str">
        <f t="shared" si="2"/>
        <v>Good</v>
      </c>
      <c r="AK58" s="11" t="str">
        <f t="shared" si="3"/>
        <v>O0057 - Headphones - Jordan</v>
      </c>
      <c r="AL58" s="11">
        <f t="shared" si="4"/>
        <v>7</v>
      </c>
      <c r="AM58" s="11">
        <f t="shared" si="5"/>
        <v>9</v>
      </c>
      <c r="AN58" s="11" t="str">
        <f t="shared" si="6"/>
        <v>Late</v>
      </c>
      <c r="AO58" s="11" t="str">
        <f t="shared" si="7"/>
        <v>Silver</v>
      </c>
      <c r="AP58" s="12" t="str">
        <f t="shared" si="14"/>
        <v>Critical</v>
      </c>
      <c r="AV58" s="11" t="str">
        <f t="shared" si="8"/>
        <v>Valid Number</v>
      </c>
      <c r="AW58" s="11" t="str">
        <f t="shared" si="9"/>
        <v>Text</v>
      </c>
      <c r="AX58" s="11" t="str">
        <f t="shared" si="10"/>
        <v>Not Blank</v>
      </c>
      <c r="AY58" s="11" t="str">
        <f t="shared" si="11"/>
        <v>Valid</v>
      </c>
      <c r="AZ58" s="12" t="str">
        <f t="shared" si="12"/>
        <v>Late</v>
      </c>
      <c r="BA58" s="11" t="str">
        <f t="shared" si="13"/>
        <v>Low Risk</v>
      </c>
      <c r="BB58" s="12" t="str">
        <f>_xlfn.LET(_xlpm.Category,_xlfn.XLOOKUP(I57,[1]Products_Lookup!A:A,[1]Products_Lookup!B:B,"Not Found"),IF(AND(_xlpm.Category="Electronics",U57&gt;4000),"High Tech Revenue",IF(AND(_xlpm.Category="Furniture",U57&gt;2000),"Premium Furniture","Standard Product")))</f>
        <v>Standard Product</v>
      </c>
    </row>
    <row r="59" spans="1:54" ht="17" x14ac:dyDescent="0.2">
      <c r="A59" s="1" t="s">
        <v>530</v>
      </c>
      <c r="B59" s="1" t="s">
        <v>531</v>
      </c>
      <c r="C59" s="1" t="s">
        <v>532</v>
      </c>
      <c r="D59" s="1" t="s">
        <v>533</v>
      </c>
      <c r="E59" s="1" t="s">
        <v>534</v>
      </c>
      <c r="F59" s="1" t="s">
        <v>62</v>
      </c>
      <c r="G59" s="1" t="s">
        <v>63</v>
      </c>
      <c r="H59" s="1" t="s">
        <v>64</v>
      </c>
      <c r="I59" s="1" t="s">
        <v>41</v>
      </c>
      <c r="J59" s="1" t="s">
        <v>42</v>
      </c>
      <c r="K59" s="1" t="s">
        <v>43</v>
      </c>
      <c r="L59" s="1" t="s">
        <v>44</v>
      </c>
      <c r="M59" s="1" t="s">
        <v>388</v>
      </c>
      <c r="N59" s="1" t="s">
        <v>535</v>
      </c>
      <c r="O59" s="1" t="s">
        <v>47</v>
      </c>
      <c r="P59" s="1" t="s">
        <v>154</v>
      </c>
      <c r="Q59" s="1" t="s">
        <v>37</v>
      </c>
      <c r="R59" s="1">
        <v>150</v>
      </c>
      <c r="S59" s="1">
        <v>10</v>
      </c>
      <c r="T59" s="1">
        <v>10.23</v>
      </c>
      <c r="U59" s="1">
        <v>955.23</v>
      </c>
      <c r="V59" s="1">
        <v>3</v>
      </c>
      <c r="W59" s="1" t="s">
        <v>72</v>
      </c>
      <c r="X59" s="1"/>
      <c r="Y59" s="1" t="s">
        <v>334</v>
      </c>
      <c r="Z59" s="1" t="s">
        <v>536</v>
      </c>
      <c r="AA59" s="1" t="s">
        <v>537</v>
      </c>
      <c r="AB59" s="1" t="s">
        <v>192</v>
      </c>
      <c r="AC59" s="1" t="s">
        <v>55</v>
      </c>
      <c r="AD59" s="1">
        <v>3</v>
      </c>
      <c r="AE59" s="1" t="s">
        <v>94</v>
      </c>
      <c r="AF59" s="1" t="s">
        <v>113</v>
      </c>
      <c r="AG59" s="1"/>
      <c r="AH59" s="11" t="str">
        <f t="shared" si="0"/>
        <v>9048</v>
      </c>
      <c r="AI59" s="11">
        <f t="shared" si="1"/>
        <v>0</v>
      </c>
      <c r="AJ59" s="11" t="str">
        <f t="shared" si="2"/>
        <v/>
      </c>
      <c r="AK59" s="11" t="str">
        <f t="shared" si="3"/>
        <v>O0058 - Coffee Machine - Saudi Arabia</v>
      </c>
      <c r="AL59" s="11">
        <f t="shared" si="4"/>
        <v>7</v>
      </c>
      <c r="AM59" s="11">
        <f t="shared" si="5"/>
        <v>7</v>
      </c>
      <c r="AN59" s="11" t="str">
        <f t="shared" si="6"/>
        <v>Late</v>
      </c>
      <c r="AO59" s="11" t="str">
        <f t="shared" si="7"/>
        <v>Silver</v>
      </c>
      <c r="AP59" s="12" t="str">
        <f t="shared" si="14"/>
        <v>Medium</v>
      </c>
      <c r="AV59" s="11" t="str">
        <f t="shared" si="8"/>
        <v>Valid Number</v>
      </c>
      <c r="AW59" s="11" t="str">
        <f t="shared" si="9"/>
        <v>Not Text</v>
      </c>
      <c r="AX59" s="11" t="str">
        <f t="shared" si="10"/>
        <v>Not Blank</v>
      </c>
      <c r="AY59" s="11" t="str">
        <f t="shared" si="11"/>
        <v>Valid</v>
      </c>
      <c r="AZ59" s="12" t="str">
        <f t="shared" si="12"/>
        <v>Returned Order</v>
      </c>
      <c r="BA59" s="11" t="str">
        <f t="shared" si="13"/>
        <v>Low Risk</v>
      </c>
      <c r="BB59" s="12" t="str">
        <f>_xlfn.LET(_xlpm.Category,_xlfn.XLOOKUP(I58,[1]Products_Lookup!A:A,[1]Products_Lookup!B:B,"Not Found"),IF(AND(_xlpm.Category="Electronics",U58&gt;4000),"High Tech Revenue",IF(AND(_xlpm.Category="Furniture",U58&gt;2000),"Premium Furniture","Standard Product")))</f>
        <v>Standard Product</v>
      </c>
    </row>
    <row r="60" spans="1:54" ht="17" x14ac:dyDescent="0.2">
      <c r="A60" s="1" t="s">
        <v>538</v>
      </c>
      <c r="B60" s="1" t="s">
        <v>539</v>
      </c>
      <c r="C60" s="1" t="s">
        <v>540</v>
      </c>
      <c r="D60" s="1" t="s">
        <v>541</v>
      </c>
      <c r="E60" s="1" t="s">
        <v>37</v>
      </c>
      <c r="F60" s="1" t="s">
        <v>38</v>
      </c>
      <c r="G60" s="1" t="s">
        <v>39</v>
      </c>
      <c r="H60" s="1" t="s">
        <v>40</v>
      </c>
      <c r="I60" s="1" t="s">
        <v>149</v>
      </c>
      <c r="J60" s="1" t="s">
        <v>150</v>
      </c>
      <c r="K60" s="1" t="s">
        <v>104</v>
      </c>
      <c r="L60" s="1" t="s">
        <v>151</v>
      </c>
      <c r="M60" s="1" t="s">
        <v>225</v>
      </c>
      <c r="N60" s="1" t="s">
        <v>285</v>
      </c>
      <c r="O60" s="1" t="s">
        <v>108</v>
      </c>
      <c r="P60" s="1" t="s">
        <v>154</v>
      </c>
      <c r="Q60" s="1">
        <v>9</v>
      </c>
      <c r="R60" s="1">
        <v>1200</v>
      </c>
      <c r="S60" s="1">
        <v>0</v>
      </c>
      <c r="T60" s="1">
        <v>18.440000000000001</v>
      </c>
      <c r="U60" s="1">
        <v>10818.44</v>
      </c>
      <c r="V60" s="1">
        <v>1</v>
      </c>
      <c r="W60" s="1" t="s">
        <v>49</v>
      </c>
      <c r="X60" s="1" t="s">
        <v>73</v>
      </c>
      <c r="Y60" s="1" t="s">
        <v>110</v>
      </c>
      <c r="Z60" s="1" t="s">
        <v>542</v>
      </c>
      <c r="AA60" s="1" t="s">
        <v>543</v>
      </c>
      <c r="AB60" s="1" t="s">
        <v>192</v>
      </c>
      <c r="AC60" s="1" t="s">
        <v>133</v>
      </c>
      <c r="AD60" s="1">
        <v>4</v>
      </c>
      <c r="AE60" s="1"/>
      <c r="AF60" s="1" t="e">
        <v>#VALUE!</v>
      </c>
      <c r="AG60" s="1" t="s">
        <v>57</v>
      </c>
      <c r="AH60" s="11" t="str">
        <f t="shared" si="0"/>
        <v>1227</v>
      </c>
      <c r="AI60" s="11">
        <f t="shared" si="1"/>
        <v>15</v>
      </c>
      <c r="AJ60" s="11" t="str">
        <f t="shared" si="2"/>
        <v>Late delivery</v>
      </c>
      <c r="AK60" s="11" t="str">
        <f t="shared" si="3"/>
        <v>O0059 - Headphones - Saudi Arabia</v>
      </c>
      <c r="AL60" s="11" t="e">
        <f t="shared" si="4"/>
        <v>#VALUE!</v>
      </c>
      <c r="AM60" s="11" t="e">
        <f t="shared" si="5"/>
        <v>#VALUE!</v>
      </c>
      <c r="AN60" s="11" t="str">
        <f t="shared" si="6"/>
        <v>On Time</v>
      </c>
      <c r="AO60" s="11" t="str">
        <f t="shared" si="7"/>
        <v>Bronze</v>
      </c>
      <c r="AP60" s="12" t="str">
        <f t="shared" si="14"/>
        <v>Low</v>
      </c>
      <c r="AV60" s="11" t="str">
        <f t="shared" si="8"/>
        <v>Not Numeric</v>
      </c>
      <c r="AW60" s="11" t="str">
        <f t="shared" si="9"/>
        <v>Text</v>
      </c>
      <c r="AX60" s="11" t="str">
        <f t="shared" si="10"/>
        <v>Not Blank</v>
      </c>
      <c r="AY60" s="11" t="str">
        <f t="shared" si="11"/>
        <v>Invalid Email</v>
      </c>
      <c r="AZ60" s="12" t="str">
        <f t="shared" si="12"/>
        <v>On Time</v>
      </c>
      <c r="BA60" s="11" t="str">
        <f t="shared" si="13"/>
        <v>Medium Risk</v>
      </c>
      <c r="BB60" s="12" t="str">
        <f>_xlfn.LET(_xlpm.Category,_xlfn.XLOOKUP(I59,[1]Products_Lookup!A:A,[1]Products_Lookup!B:B,"Not Found"),IF(AND(_xlpm.Category="Electronics",U59&gt;4000),"High Tech Revenue",IF(AND(_xlpm.Category="Furniture",U59&gt;2000),"Premium Furniture","Standard Product")))</f>
        <v>Standard Product</v>
      </c>
    </row>
    <row r="61" spans="1:54" ht="17" x14ac:dyDescent="0.2">
      <c r="A61" s="1" t="s">
        <v>544</v>
      </c>
      <c r="B61" s="1" t="s">
        <v>545</v>
      </c>
      <c r="C61" s="1" t="s">
        <v>546</v>
      </c>
      <c r="D61" s="1" t="s">
        <v>547</v>
      </c>
      <c r="E61" s="1" t="s">
        <v>548</v>
      </c>
      <c r="F61" s="1" t="s">
        <v>138</v>
      </c>
      <c r="G61" s="1" t="s">
        <v>139</v>
      </c>
      <c r="H61" s="1" t="s">
        <v>64</v>
      </c>
      <c r="I61" s="1" t="s">
        <v>102</v>
      </c>
      <c r="J61" s="1" t="s">
        <v>103</v>
      </c>
      <c r="K61" s="1" t="s">
        <v>104</v>
      </c>
      <c r="L61" s="1" t="s">
        <v>105</v>
      </c>
      <c r="M61" s="1" t="s">
        <v>549</v>
      </c>
      <c r="N61" s="1" t="s">
        <v>284</v>
      </c>
      <c r="O61" s="1" t="s">
        <v>108</v>
      </c>
      <c r="P61" s="1" t="s">
        <v>154</v>
      </c>
      <c r="Q61" s="1" t="s">
        <v>37</v>
      </c>
      <c r="R61" s="1">
        <v>900</v>
      </c>
      <c r="S61" s="1">
        <v>10</v>
      </c>
      <c r="T61" s="1">
        <v>19.82</v>
      </c>
      <c r="U61" s="1">
        <v>829.82</v>
      </c>
      <c r="V61" s="1">
        <v>3</v>
      </c>
      <c r="W61" s="1" t="s">
        <v>94</v>
      </c>
      <c r="X61" s="1" t="s">
        <v>141</v>
      </c>
      <c r="Y61" s="1" t="s">
        <v>226</v>
      </c>
      <c r="Z61" s="1" t="s">
        <v>550</v>
      </c>
      <c r="AA61" s="1" t="s">
        <v>551</v>
      </c>
      <c r="AB61" s="1" t="s">
        <v>132</v>
      </c>
      <c r="AC61" s="1" t="s">
        <v>133</v>
      </c>
      <c r="AD61" s="1">
        <v>2</v>
      </c>
      <c r="AE61" s="1" t="s">
        <v>94</v>
      </c>
      <c r="AF61" s="1"/>
      <c r="AG61" s="1" t="s">
        <v>57</v>
      </c>
      <c r="AH61" s="11" t="str">
        <f t="shared" si="0"/>
        <v>8609</v>
      </c>
      <c r="AI61" s="11">
        <f t="shared" si="1"/>
        <v>15</v>
      </c>
      <c r="AJ61" s="11" t="str">
        <f t="shared" si="2"/>
        <v>Late delivery</v>
      </c>
      <c r="AK61" s="11" t="str">
        <f t="shared" si="3"/>
        <v>O0060 - Laptop - Jordan</v>
      </c>
      <c r="AL61" s="11">
        <f t="shared" si="4"/>
        <v>8</v>
      </c>
      <c r="AM61" s="11">
        <f t="shared" si="5"/>
        <v>9</v>
      </c>
      <c r="AN61" s="11" t="str">
        <f t="shared" si="6"/>
        <v>Late</v>
      </c>
      <c r="AO61" s="11" t="str">
        <f t="shared" si="7"/>
        <v>Platinum</v>
      </c>
      <c r="AP61" s="12" t="str">
        <f t="shared" si="14"/>
        <v>High</v>
      </c>
      <c r="AV61" s="11" t="str">
        <f t="shared" si="8"/>
        <v>Valid Number</v>
      </c>
      <c r="AW61" s="11" t="str">
        <f t="shared" si="9"/>
        <v>Text</v>
      </c>
      <c r="AX61" s="11" t="str">
        <f t="shared" si="10"/>
        <v>Not Blank</v>
      </c>
      <c r="AY61" s="11" t="str">
        <f t="shared" si="11"/>
        <v>Needs Cleaning</v>
      </c>
      <c r="AZ61" s="12" t="str">
        <f t="shared" si="12"/>
        <v>Returned Order</v>
      </c>
      <c r="BA61" s="11" t="str">
        <f t="shared" si="13"/>
        <v>Unknown</v>
      </c>
      <c r="BB61" s="12" t="str">
        <f>_xlfn.LET(_xlpm.Category,_xlfn.XLOOKUP(I60,[1]Products_Lookup!A:A,[1]Products_Lookup!B:B,"Not Found"),IF(AND(_xlpm.Category="Electronics",U60&gt;4000),"High Tech Revenue",IF(AND(_xlpm.Category="Furniture",U60&gt;2000),"Premium Furniture","Standard Product")))</f>
        <v>Standard Product</v>
      </c>
    </row>
    <row r="62" spans="1:54" ht="17" x14ac:dyDescent="0.2">
      <c r="A62" s="1" t="s">
        <v>552</v>
      </c>
      <c r="B62" s="1" t="s">
        <v>553</v>
      </c>
      <c r="C62" s="1" t="s">
        <v>554</v>
      </c>
      <c r="D62" s="1" t="s">
        <v>870</v>
      </c>
      <c r="E62" s="1" t="s">
        <v>83</v>
      </c>
      <c r="F62" s="1" t="s">
        <v>99</v>
      </c>
      <c r="G62" s="1" t="s">
        <v>100</v>
      </c>
      <c r="H62" s="1" t="s">
        <v>101</v>
      </c>
      <c r="I62" s="1" t="s">
        <v>84</v>
      </c>
      <c r="J62" s="1" t="s">
        <v>85</v>
      </c>
      <c r="K62" s="1" t="s">
        <v>86</v>
      </c>
      <c r="L62" s="1" t="s">
        <v>87</v>
      </c>
      <c r="M62" s="1" t="s">
        <v>485</v>
      </c>
      <c r="N62" s="1" t="s">
        <v>207</v>
      </c>
      <c r="O62" s="1" t="s">
        <v>108</v>
      </c>
      <c r="P62" s="1" t="s">
        <v>154</v>
      </c>
      <c r="Q62" s="1">
        <v>3</v>
      </c>
      <c r="R62" s="1">
        <v>340</v>
      </c>
      <c r="S62" s="1">
        <v>20</v>
      </c>
      <c r="T62" s="1">
        <v>13.55</v>
      </c>
      <c r="U62" s="1">
        <v>829.55</v>
      </c>
      <c r="V62" s="1">
        <v>5</v>
      </c>
      <c r="W62" s="1" t="s">
        <v>72</v>
      </c>
      <c r="X62" s="1" t="s">
        <v>141</v>
      </c>
      <c r="Y62" s="1" t="s">
        <v>129</v>
      </c>
      <c r="Z62" s="1" t="s">
        <v>555</v>
      </c>
      <c r="AA62" s="1" t="s">
        <v>556</v>
      </c>
      <c r="AB62" s="1" t="s">
        <v>132</v>
      </c>
      <c r="AC62" s="1" t="s">
        <v>133</v>
      </c>
      <c r="AD62" s="1">
        <v>1</v>
      </c>
      <c r="AE62" s="1" t="s">
        <v>56</v>
      </c>
      <c r="AF62" s="1" t="e">
        <v>#VALUE!</v>
      </c>
      <c r="AG62" s="1"/>
      <c r="AH62" s="11" t="str">
        <f t="shared" si="0"/>
        <v>4023</v>
      </c>
      <c r="AI62" s="11">
        <f t="shared" si="1"/>
        <v>17</v>
      </c>
      <c r="AJ62" s="11" t="str">
        <f t="shared" si="2"/>
        <v>Excellent service</v>
      </c>
      <c r="AK62" s="11" t="str">
        <f t="shared" si="3"/>
        <v>O0061 - Phone - UAE</v>
      </c>
      <c r="AL62" s="11">
        <f t="shared" si="4"/>
        <v>8</v>
      </c>
      <c r="AM62" s="11" t="e">
        <f t="shared" si="5"/>
        <v>#VALUE!</v>
      </c>
      <c r="AN62" s="11" t="str">
        <f t="shared" si="6"/>
        <v>Late</v>
      </c>
      <c r="AO62" s="11" t="str">
        <f t="shared" si="7"/>
        <v>Bronze</v>
      </c>
      <c r="AP62" s="12" t="str">
        <f t="shared" si="14"/>
        <v>Critical</v>
      </c>
      <c r="AV62" s="11" t="str">
        <f t="shared" si="8"/>
        <v>Not Numeric</v>
      </c>
      <c r="AW62" s="11" t="str">
        <f t="shared" si="9"/>
        <v>Text</v>
      </c>
      <c r="AX62" s="11" t="str">
        <f t="shared" si="10"/>
        <v>Not Blank</v>
      </c>
      <c r="AY62" s="11" t="str">
        <f t="shared" si="11"/>
        <v>Needs Cleaning</v>
      </c>
      <c r="AZ62" s="12" t="str">
        <f t="shared" si="12"/>
        <v>Late</v>
      </c>
      <c r="BA62" s="11" t="str">
        <f t="shared" si="13"/>
        <v>Medium Risk</v>
      </c>
      <c r="BB62" s="12" t="str">
        <f>_xlfn.LET(_xlpm.Category,_xlfn.XLOOKUP(I61,[1]Products_Lookup!A:A,[1]Products_Lookup!B:B,"Not Found"),IF(AND(_xlpm.Category="Electronics",U61&gt;4000),"High Tech Revenue",IF(AND(_xlpm.Category="Furniture",U61&gt;2000),"Premium Furniture","Standard Product")))</f>
        <v>Standard Product</v>
      </c>
    </row>
    <row r="63" spans="1:54" ht="17" x14ac:dyDescent="0.2">
      <c r="A63" s="1" t="s">
        <v>557</v>
      </c>
      <c r="B63" s="1" t="s">
        <v>558</v>
      </c>
      <c r="C63" s="1" t="s">
        <v>559</v>
      </c>
      <c r="D63" s="1" t="s">
        <v>560</v>
      </c>
      <c r="E63" s="1" t="s">
        <v>37</v>
      </c>
      <c r="F63" s="1" t="s">
        <v>38</v>
      </c>
      <c r="G63" s="1" t="s">
        <v>39</v>
      </c>
      <c r="H63" s="1" t="s">
        <v>40</v>
      </c>
      <c r="I63" s="1" t="s">
        <v>84</v>
      </c>
      <c r="J63" s="1" t="s">
        <v>85</v>
      </c>
      <c r="K63" s="1" t="s">
        <v>86</v>
      </c>
      <c r="L63" s="1" t="s">
        <v>87</v>
      </c>
      <c r="M63" s="1" t="s">
        <v>234</v>
      </c>
      <c r="N63" s="1" t="s">
        <v>561</v>
      </c>
      <c r="O63" s="1" t="s">
        <v>71</v>
      </c>
      <c r="P63" s="1" t="s">
        <v>109</v>
      </c>
      <c r="Q63" s="1">
        <v>3</v>
      </c>
      <c r="R63" s="1">
        <v>340</v>
      </c>
      <c r="S63" s="1">
        <v>0</v>
      </c>
      <c r="T63" s="1">
        <v>3.11</v>
      </c>
      <c r="U63" s="1">
        <v>1023.11</v>
      </c>
      <c r="V63" s="1">
        <v>5</v>
      </c>
      <c r="W63" s="1" t="s">
        <v>49</v>
      </c>
      <c r="X63" s="1"/>
      <c r="Y63" s="1" t="s">
        <v>163</v>
      </c>
      <c r="Z63" s="1" t="s">
        <v>562</v>
      </c>
      <c r="AA63" s="1" t="s">
        <v>563</v>
      </c>
      <c r="AB63" s="1"/>
      <c r="AC63" s="1" t="s">
        <v>55</v>
      </c>
      <c r="AD63" s="1">
        <v>4</v>
      </c>
      <c r="AE63" s="1" t="s">
        <v>94</v>
      </c>
      <c r="AF63" s="1" t="e">
        <v>#N/A</v>
      </c>
      <c r="AG63" s="1" t="s">
        <v>57</v>
      </c>
      <c r="AH63" s="11" t="str">
        <f t="shared" si="0"/>
        <v>9803</v>
      </c>
      <c r="AI63" s="11">
        <f t="shared" si="1"/>
        <v>17</v>
      </c>
      <c r="AJ63" s="11" t="str">
        <f t="shared" si="2"/>
        <v>Excellent service</v>
      </c>
      <c r="AK63" s="11" t="str">
        <f t="shared" si="3"/>
        <v>O0062 - Coffee Machine - Egypt</v>
      </c>
      <c r="AL63" s="11">
        <f t="shared" si="4"/>
        <v>9</v>
      </c>
      <c r="AM63" s="11">
        <f t="shared" si="5"/>
        <v>3</v>
      </c>
      <c r="AN63" s="11" t="str">
        <f t="shared" si="6"/>
        <v>Late</v>
      </c>
      <c r="AO63" s="11" t="str">
        <f t="shared" si="7"/>
        <v>Bronze</v>
      </c>
      <c r="AP63" s="12" t="str">
        <f t="shared" si="14"/>
        <v>Low</v>
      </c>
      <c r="AV63" s="11" t="str">
        <f t="shared" si="8"/>
        <v>Valid Number</v>
      </c>
      <c r="AW63" s="11" t="str">
        <f t="shared" si="9"/>
        <v>Text</v>
      </c>
      <c r="AX63" s="11" t="str">
        <f t="shared" si="10"/>
        <v>Not Blank</v>
      </c>
      <c r="AY63" s="11" t="str">
        <f t="shared" si="11"/>
        <v>Needs Cleaning</v>
      </c>
      <c r="AZ63" s="12" t="str">
        <f t="shared" si="12"/>
        <v>Late</v>
      </c>
      <c r="BA63" s="11" t="str">
        <f t="shared" si="13"/>
        <v>Low Risk</v>
      </c>
      <c r="BB63" s="12" t="str">
        <f>_xlfn.LET(_xlpm.Category,_xlfn.XLOOKUP(I62,[1]Products_Lookup!A:A,[1]Products_Lookup!B:B,"Not Found"),IF(AND(_xlpm.Category="Electronics",U62&gt;4000),"High Tech Revenue",IF(AND(_xlpm.Category="Furniture",U62&gt;2000),"Premium Furniture","Standard Product")))</f>
        <v>Standard Product</v>
      </c>
    </row>
    <row r="64" spans="1:54" ht="17" x14ac:dyDescent="0.2">
      <c r="A64" s="1" t="s">
        <v>564</v>
      </c>
      <c r="B64" s="1" t="s">
        <v>565</v>
      </c>
      <c r="C64" s="1" t="s">
        <v>566</v>
      </c>
      <c r="D64" s="1" t="s">
        <v>567</v>
      </c>
      <c r="E64" s="1" t="s">
        <v>37</v>
      </c>
      <c r="F64" s="1" t="s">
        <v>99</v>
      </c>
      <c r="G64" s="1" t="s">
        <v>100</v>
      </c>
      <c r="H64" s="1" t="s">
        <v>101</v>
      </c>
      <c r="I64" s="1" t="s">
        <v>65</v>
      </c>
      <c r="J64" s="1" t="s">
        <v>66</v>
      </c>
      <c r="K64" s="1" t="s">
        <v>67</v>
      </c>
      <c r="L64" s="1" t="s">
        <v>68</v>
      </c>
      <c r="M64" s="1" t="s">
        <v>388</v>
      </c>
      <c r="N64" s="1" t="s">
        <v>568</v>
      </c>
      <c r="O64" s="1" t="s">
        <v>47</v>
      </c>
      <c r="P64" s="1" t="s">
        <v>48</v>
      </c>
      <c r="Q64" s="1" t="s">
        <v>37</v>
      </c>
      <c r="R64" s="1">
        <v>220</v>
      </c>
      <c r="S64" s="1">
        <v>5</v>
      </c>
      <c r="T64" s="1">
        <v>3.6</v>
      </c>
      <c r="U64" s="1">
        <v>1884.6</v>
      </c>
      <c r="V64" s="1">
        <v>2</v>
      </c>
      <c r="W64" s="1" t="s">
        <v>49</v>
      </c>
      <c r="X64" s="1" t="s">
        <v>141</v>
      </c>
      <c r="Y64" s="1" t="s">
        <v>569</v>
      </c>
      <c r="Z64" s="1" t="s">
        <v>570</v>
      </c>
      <c r="AA64" s="1" t="s">
        <v>571</v>
      </c>
      <c r="AB64" s="1" t="s">
        <v>132</v>
      </c>
      <c r="AC64" s="1" t="s">
        <v>133</v>
      </c>
      <c r="AD64" s="1">
        <v>3</v>
      </c>
      <c r="AE64" s="1"/>
      <c r="AF64" s="1" t="e">
        <v>#VALUE!</v>
      </c>
      <c r="AG64" s="1" t="s">
        <v>78</v>
      </c>
      <c r="AH64" s="11" t="str">
        <f t="shared" si="0"/>
        <v>8199</v>
      </c>
      <c r="AI64" s="11">
        <f t="shared" si="1"/>
        <v>0</v>
      </c>
      <c r="AJ64" s="11" t="str">
        <f t="shared" si="2"/>
        <v/>
      </c>
      <c r="AK64" s="11" t="str">
        <f t="shared" si="3"/>
        <v>O0063 - Coffee Machine - Jordan</v>
      </c>
      <c r="AL64" s="11" t="e">
        <f t="shared" si="4"/>
        <v>#VALUE!</v>
      </c>
      <c r="AM64" s="11">
        <f t="shared" si="5"/>
        <v>3</v>
      </c>
      <c r="AN64" s="11" t="str">
        <f t="shared" si="6"/>
        <v>On Time</v>
      </c>
      <c r="AO64" s="11" t="str">
        <f t="shared" si="7"/>
        <v>Silver</v>
      </c>
      <c r="AP64" s="12" t="str">
        <f t="shared" si="14"/>
        <v>Medium</v>
      </c>
      <c r="AV64" s="11" t="str">
        <f t="shared" si="8"/>
        <v>Valid Number</v>
      </c>
      <c r="AW64" s="11" t="str">
        <f t="shared" si="9"/>
        <v>Not Text</v>
      </c>
      <c r="AX64" s="11" t="str">
        <f t="shared" si="10"/>
        <v>Not Blank</v>
      </c>
      <c r="AY64" s="11" t="str">
        <f t="shared" si="11"/>
        <v>Invalid Email</v>
      </c>
      <c r="AZ64" s="12" t="str">
        <f t="shared" si="12"/>
        <v>Returned Order</v>
      </c>
      <c r="BA64" s="11" t="str">
        <f t="shared" si="13"/>
        <v>Low Risk</v>
      </c>
      <c r="BB64" s="12" t="str">
        <f>_xlfn.LET(_xlpm.Category,_xlfn.XLOOKUP(I63,[1]Products_Lookup!A:A,[1]Products_Lookup!B:B,"Not Found"),IF(AND(_xlpm.Category="Electronics",U63&gt;4000),"High Tech Revenue",IF(AND(_xlpm.Category="Furniture",U63&gt;2000),"Premium Furniture","Standard Product")))</f>
        <v>Standard Product</v>
      </c>
    </row>
    <row r="65" spans="1:54" ht="17" x14ac:dyDescent="0.2">
      <c r="A65" s="1" t="s">
        <v>572</v>
      </c>
      <c r="B65" s="1" t="s">
        <v>573</v>
      </c>
      <c r="C65" s="1" t="s">
        <v>574</v>
      </c>
      <c r="D65" s="1" t="s">
        <v>868</v>
      </c>
      <c r="E65" s="1" t="s">
        <v>575</v>
      </c>
      <c r="F65" s="1" t="s">
        <v>99</v>
      </c>
      <c r="G65" s="1" t="s">
        <v>100</v>
      </c>
      <c r="H65" s="1" t="s">
        <v>101</v>
      </c>
      <c r="I65" s="1" t="s">
        <v>65</v>
      </c>
      <c r="J65" s="1" t="s">
        <v>66</v>
      </c>
      <c r="K65" s="1" t="s">
        <v>67</v>
      </c>
      <c r="L65" s="1" t="s">
        <v>68</v>
      </c>
      <c r="M65" s="1" t="s">
        <v>576</v>
      </c>
      <c r="N65" s="1" t="s">
        <v>216</v>
      </c>
      <c r="O65" s="1" t="s">
        <v>108</v>
      </c>
      <c r="P65" s="1" t="s">
        <v>154</v>
      </c>
      <c r="Q65" s="1">
        <v>5</v>
      </c>
      <c r="R65" s="1">
        <v>220</v>
      </c>
      <c r="S65" s="1">
        <v>10</v>
      </c>
      <c r="T65" s="1">
        <v>19.149999999999999</v>
      </c>
      <c r="U65" s="1">
        <v>1009.15</v>
      </c>
      <c r="V65" s="1">
        <v>1</v>
      </c>
      <c r="W65" s="1" t="s">
        <v>72</v>
      </c>
      <c r="X65" s="1" t="s">
        <v>50</v>
      </c>
      <c r="Y65" s="1" t="s">
        <v>91</v>
      </c>
      <c r="Z65" s="1" t="s">
        <v>577</v>
      </c>
      <c r="AA65" s="1" t="s">
        <v>578</v>
      </c>
      <c r="AB65" s="1"/>
      <c r="AC65" s="1" t="s">
        <v>133</v>
      </c>
      <c r="AD65" s="1">
        <v>1</v>
      </c>
      <c r="AE65" s="1" t="s">
        <v>56</v>
      </c>
      <c r="AF65" s="1" t="s">
        <v>113</v>
      </c>
      <c r="AG65" s="1" t="s">
        <v>57</v>
      </c>
      <c r="AH65" s="11" t="str">
        <f t="shared" si="0"/>
        <v>3370</v>
      </c>
      <c r="AI65" s="11">
        <f t="shared" si="1"/>
        <v>17</v>
      </c>
      <c r="AJ65" s="11" t="str">
        <f t="shared" si="2"/>
        <v>Excellent service</v>
      </c>
      <c r="AK65" s="11" t="str">
        <f t="shared" si="3"/>
        <v>O0064 - Desk Chair - Egypt</v>
      </c>
      <c r="AL65" s="11">
        <f t="shared" si="4"/>
        <v>8</v>
      </c>
      <c r="AM65" s="11" t="e">
        <f t="shared" si="5"/>
        <v>#VALUE!</v>
      </c>
      <c r="AN65" s="11" t="str">
        <f t="shared" si="6"/>
        <v>On Time</v>
      </c>
      <c r="AO65" s="11" t="str">
        <f t="shared" si="7"/>
        <v>Silver</v>
      </c>
      <c r="AP65" s="12" t="str">
        <f t="shared" si="14"/>
        <v>Critical</v>
      </c>
      <c r="AV65" s="11" t="str">
        <f t="shared" si="8"/>
        <v>Not Numeric</v>
      </c>
      <c r="AW65" s="11" t="str">
        <f t="shared" si="9"/>
        <v>Text</v>
      </c>
      <c r="AX65" s="11" t="str">
        <f t="shared" si="10"/>
        <v>Not Blank</v>
      </c>
      <c r="AY65" s="11" t="str">
        <f t="shared" si="11"/>
        <v>Needs Cleaning</v>
      </c>
      <c r="AZ65" s="12" t="str">
        <f t="shared" si="12"/>
        <v>Returned Order</v>
      </c>
      <c r="BA65" s="11" t="str">
        <f t="shared" si="13"/>
        <v>Unknown</v>
      </c>
      <c r="BB65" s="12" t="str">
        <f>_xlfn.LET(_xlpm.Category,_xlfn.XLOOKUP(I64,[1]Products_Lookup!A:A,[1]Products_Lookup!B:B,"Not Found"),IF(AND(_xlpm.Category="Electronics",U64&gt;4000),"High Tech Revenue",IF(AND(_xlpm.Category="Furniture",U64&gt;2000),"Premium Furniture","Standard Product")))</f>
        <v>Standard Product</v>
      </c>
    </row>
    <row r="66" spans="1:54" ht="17" x14ac:dyDescent="0.2">
      <c r="A66" s="1" t="s">
        <v>579</v>
      </c>
      <c r="B66" s="1" t="s">
        <v>580</v>
      </c>
      <c r="C66" s="1" t="s">
        <v>581</v>
      </c>
      <c r="D66" s="1" t="s">
        <v>871</v>
      </c>
      <c r="E66" s="1" t="s">
        <v>37</v>
      </c>
      <c r="F66" s="1" t="s">
        <v>38</v>
      </c>
      <c r="G66" s="1" t="s">
        <v>39</v>
      </c>
      <c r="H66" s="1" t="s">
        <v>40</v>
      </c>
      <c r="I66" s="1" t="s">
        <v>149</v>
      </c>
      <c r="J66" s="1" t="s">
        <v>150</v>
      </c>
      <c r="K66" s="1" t="s">
        <v>104</v>
      </c>
      <c r="L66" s="1" t="s">
        <v>151</v>
      </c>
      <c r="M66" s="1" t="s">
        <v>568</v>
      </c>
      <c r="N66" s="1" t="s">
        <v>348</v>
      </c>
      <c r="O66" s="1" t="s">
        <v>108</v>
      </c>
      <c r="P66" s="1" t="s">
        <v>109</v>
      </c>
      <c r="Q66" s="1">
        <v>4</v>
      </c>
      <c r="R66" s="1">
        <v>1200</v>
      </c>
      <c r="S66" s="1">
        <v>0</v>
      </c>
      <c r="T66" s="1">
        <v>11.97</v>
      </c>
      <c r="U66" s="1">
        <v>4811.97</v>
      </c>
      <c r="V66" s="1">
        <v>3</v>
      </c>
      <c r="W66" s="1" t="s">
        <v>49</v>
      </c>
      <c r="X66" s="1" t="s">
        <v>141</v>
      </c>
      <c r="Y66" s="1" t="s">
        <v>163</v>
      </c>
      <c r="Z66" s="1" t="s">
        <v>582</v>
      </c>
      <c r="AA66" s="1" t="s">
        <v>583</v>
      </c>
      <c r="AB66" s="1" t="s">
        <v>132</v>
      </c>
      <c r="AC66" s="1" t="s">
        <v>55</v>
      </c>
      <c r="AD66" s="1">
        <v>2</v>
      </c>
      <c r="AE66" s="1" t="s">
        <v>94</v>
      </c>
      <c r="AF66" s="1" t="e">
        <v>#N/A</v>
      </c>
      <c r="AG66" s="1"/>
      <c r="AH66" s="11" t="str">
        <f t="shared" si="0"/>
        <v>3208</v>
      </c>
      <c r="AI66" s="11">
        <f t="shared" si="1"/>
        <v>0</v>
      </c>
      <c r="AJ66" s="11" t="str">
        <f t="shared" si="2"/>
        <v/>
      </c>
      <c r="AK66" s="11" t="str">
        <f t="shared" si="3"/>
        <v>O0065 - Desk Chair - Egypt</v>
      </c>
      <c r="AL66" s="11" t="e">
        <f t="shared" si="4"/>
        <v>#VALUE!</v>
      </c>
      <c r="AM66" s="11">
        <f t="shared" si="5"/>
        <v>5</v>
      </c>
      <c r="AN66" s="11" t="str">
        <f t="shared" si="6"/>
        <v>Late</v>
      </c>
      <c r="AO66" s="11" t="str">
        <f t="shared" si="7"/>
        <v>Silver</v>
      </c>
      <c r="AP66" s="12" t="str">
        <f t="shared" si="14"/>
        <v>High</v>
      </c>
      <c r="AV66" s="11" t="str">
        <f t="shared" si="8"/>
        <v>Valid Number</v>
      </c>
      <c r="AW66" s="11" t="str">
        <f t="shared" si="9"/>
        <v>Not Text</v>
      </c>
      <c r="AX66" s="11" t="str">
        <f t="shared" si="10"/>
        <v>Not Blank</v>
      </c>
      <c r="AY66" s="11" t="str">
        <f t="shared" si="11"/>
        <v>Invalid Email</v>
      </c>
      <c r="AZ66" s="12" t="str">
        <f t="shared" si="12"/>
        <v>Late</v>
      </c>
      <c r="BA66" s="11" t="str">
        <f t="shared" si="13"/>
        <v>Unknown</v>
      </c>
      <c r="BB66" s="12" t="str">
        <f>_xlfn.LET(_xlpm.Category,_xlfn.XLOOKUP(I65,[1]Products_Lookup!A:A,[1]Products_Lookup!B:B,"Not Found"),IF(AND(_xlpm.Category="Electronics",U65&gt;4000),"High Tech Revenue",IF(AND(_xlpm.Category="Furniture",U65&gt;2000),"Premium Furniture","Standard Product")))</f>
        <v>Standard Product</v>
      </c>
    </row>
    <row r="67" spans="1:54" ht="17" x14ac:dyDescent="0.2">
      <c r="A67" s="1" t="s">
        <v>584</v>
      </c>
      <c r="B67" s="1" t="s">
        <v>585</v>
      </c>
      <c r="C67" s="1" t="s">
        <v>586</v>
      </c>
      <c r="D67" s="1" t="s">
        <v>587</v>
      </c>
      <c r="E67" s="1" t="s">
        <v>83</v>
      </c>
      <c r="F67" s="1" t="s">
        <v>138</v>
      </c>
      <c r="G67" s="1" t="s">
        <v>139</v>
      </c>
      <c r="H67" s="1" t="s">
        <v>64</v>
      </c>
      <c r="I67" s="1" t="s">
        <v>41</v>
      </c>
      <c r="J67" s="1" t="s">
        <v>42</v>
      </c>
      <c r="K67" s="1" t="s">
        <v>43</v>
      </c>
      <c r="L67" s="1" t="s">
        <v>44</v>
      </c>
      <c r="M67" s="1" t="s">
        <v>325</v>
      </c>
      <c r="N67" s="1" t="s">
        <v>588</v>
      </c>
      <c r="O67" s="1" t="s">
        <v>71</v>
      </c>
      <c r="P67" s="1" t="s">
        <v>154</v>
      </c>
      <c r="Q67" s="1">
        <v>1</v>
      </c>
      <c r="R67" s="1">
        <v>150</v>
      </c>
      <c r="S67" s="1">
        <v>0</v>
      </c>
      <c r="T67" s="1">
        <v>8.35</v>
      </c>
      <c r="U67" s="1">
        <v>158.35</v>
      </c>
      <c r="V67" s="1">
        <v>5</v>
      </c>
      <c r="W67" s="1" t="s">
        <v>49</v>
      </c>
      <c r="X67" s="1" t="s">
        <v>141</v>
      </c>
      <c r="Y67" s="1" t="s">
        <v>74</v>
      </c>
      <c r="Z67" s="1" t="s">
        <v>589</v>
      </c>
      <c r="AA67" s="1" t="s">
        <v>590</v>
      </c>
      <c r="AB67" s="1" t="s">
        <v>192</v>
      </c>
      <c r="AC67" s="1" t="s">
        <v>133</v>
      </c>
      <c r="AD67" s="1">
        <v>4</v>
      </c>
      <c r="AE67" s="1" t="s">
        <v>94</v>
      </c>
      <c r="AF67" s="1" t="e">
        <v>#VALUE!</v>
      </c>
      <c r="AG67" s="1" t="s">
        <v>57</v>
      </c>
      <c r="AH67" s="11" t="str">
        <f t="shared" si="0"/>
        <v>6271</v>
      </c>
      <c r="AI67" s="11">
        <f t="shared" si="1"/>
        <v>17</v>
      </c>
      <c r="AJ67" s="11" t="str">
        <f t="shared" si="2"/>
        <v>Excellent service</v>
      </c>
      <c r="AK67" s="11" t="str">
        <f t="shared" si="3"/>
        <v>O0066 - Laptop - Jordan</v>
      </c>
      <c r="AL67" s="11">
        <f t="shared" si="4"/>
        <v>9</v>
      </c>
      <c r="AM67" s="11">
        <f t="shared" si="5"/>
        <v>4</v>
      </c>
      <c r="AN67" s="11" t="str">
        <f t="shared" si="6"/>
        <v>Late</v>
      </c>
      <c r="AO67" s="11" t="str">
        <f t="shared" si="7"/>
        <v>Gold</v>
      </c>
      <c r="AP67" s="12" t="str">
        <f t="shared" si="14"/>
        <v>Low</v>
      </c>
      <c r="AV67" s="11" t="str">
        <f t="shared" si="8"/>
        <v>Valid Number</v>
      </c>
      <c r="AW67" s="11" t="str">
        <f t="shared" si="9"/>
        <v>Text</v>
      </c>
      <c r="AX67" s="11" t="str">
        <f t="shared" si="10"/>
        <v>Not Blank</v>
      </c>
      <c r="AY67" s="11" t="str">
        <f t="shared" si="11"/>
        <v>Needs Cleaning</v>
      </c>
      <c r="AZ67" s="12" t="str">
        <f t="shared" si="12"/>
        <v>Returned Order</v>
      </c>
      <c r="BA67" s="11" t="str">
        <f t="shared" si="13"/>
        <v>Medium Risk</v>
      </c>
      <c r="BB67" s="12" t="str">
        <f>_xlfn.LET(_xlpm.Category,_xlfn.XLOOKUP(I66,[1]Products_Lookup!A:A,[1]Products_Lookup!B:B,"Not Found"),IF(AND(_xlpm.Category="Electronics",U66&gt;4000),"High Tech Revenue",IF(AND(_xlpm.Category="Furniture",U66&gt;2000),"Premium Furniture","Standard Product")))</f>
        <v>Standard Product</v>
      </c>
    </row>
    <row r="68" spans="1:54" ht="17" x14ac:dyDescent="0.2">
      <c r="A68" s="1" t="s">
        <v>591</v>
      </c>
      <c r="B68" s="1" t="s">
        <v>592</v>
      </c>
      <c r="C68" s="1" t="s">
        <v>593</v>
      </c>
      <c r="D68" s="1" t="s">
        <v>594</v>
      </c>
      <c r="E68" s="1" t="s">
        <v>595</v>
      </c>
      <c r="F68" s="1" t="s">
        <v>38</v>
      </c>
      <c r="G68" s="1" t="s">
        <v>39</v>
      </c>
      <c r="H68" s="1" t="s">
        <v>40</v>
      </c>
      <c r="I68" s="1" t="s">
        <v>149</v>
      </c>
      <c r="J68" s="1" t="s">
        <v>150</v>
      </c>
      <c r="K68" s="1" t="s">
        <v>104</v>
      </c>
      <c r="L68" s="1" t="s">
        <v>151</v>
      </c>
      <c r="M68" s="1" t="s">
        <v>347</v>
      </c>
      <c r="N68" s="1" t="s">
        <v>596</v>
      </c>
      <c r="O68" s="1" t="s">
        <v>108</v>
      </c>
      <c r="P68" s="1" t="s">
        <v>109</v>
      </c>
      <c r="Q68" s="1" t="s">
        <v>37</v>
      </c>
      <c r="R68" s="1">
        <v>1200</v>
      </c>
      <c r="S68" s="1">
        <v>5</v>
      </c>
      <c r="T68" s="1">
        <v>4.32</v>
      </c>
      <c r="U68" s="1">
        <v>10264.32</v>
      </c>
      <c r="V68" s="1">
        <v>4</v>
      </c>
      <c r="W68" s="1" t="s">
        <v>94</v>
      </c>
      <c r="X68" s="1"/>
      <c r="Y68" s="1" t="s">
        <v>597</v>
      </c>
      <c r="Z68" s="1" t="s">
        <v>278</v>
      </c>
      <c r="AA68" s="1" t="s">
        <v>598</v>
      </c>
      <c r="AB68" s="1" t="s">
        <v>192</v>
      </c>
      <c r="AC68" s="1" t="s">
        <v>133</v>
      </c>
      <c r="AD68" s="1">
        <v>3</v>
      </c>
      <c r="AE68" s="1" t="s">
        <v>94</v>
      </c>
      <c r="AF68" s="1" t="e">
        <v>#N/A</v>
      </c>
      <c r="AG68" s="1" t="s">
        <v>78</v>
      </c>
      <c r="AH68" s="11" t="str">
        <f t="shared" ref="AH68:AH101" si="15">RIGHT(AA67,4)</f>
        <v>9006</v>
      </c>
      <c r="AI68" s="11">
        <f t="shared" ref="AI68:AI101" si="16">LEN(AB67)</f>
        <v>15</v>
      </c>
      <c r="AJ68" s="11" t="str">
        <f t="shared" ref="AJ68:AJ101" si="17">TRIM(AB67)</f>
        <v>Late delivery</v>
      </c>
      <c r="AK68" s="11" t="str">
        <f t="shared" ref="AK68:AK101" si="18">A67&amp;" - "&amp;J67&amp;" - "&amp;F67</f>
        <v>O0067 - Headphones - UAE</v>
      </c>
      <c r="AL68" s="11" t="e">
        <f t="shared" ref="AL68:AL101" si="19">SEARCH("@",D67)</f>
        <v>#VALUE!</v>
      </c>
      <c r="AM68" s="11">
        <f t="shared" ref="AM68:AM101" si="20">VALUE(Q67)</f>
        <v>1</v>
      </c>
      <c r="AN68" s="11" t="str">
        <f t="shared" ref="AN68:AN101" si="21">IF(N67-M67&gt;5,"Late","On Time")</f>
        <v>Late</v>
      </c>
      <c r="AO68" s="11" t="str">
        <f t="shared" ref="AO68:AO101" si="22">IF(U67&gt;5000,"Platinum",IF(U67&gt;=3000,"Gold",IF(U67&gt;=1000,"Silver","Bronze")))</f>
        <v>Bronze</v>
      </c>
      <c r="AP68" s="12" t="str">
        <f t="shared" ref="AP68:AP101" si="23">CHOOSE(AD68,"Critical","High","Medium","Low")</f>
        <v>Medium</v>
      </c>
      <c r="AV68" s="11" t="str">
        <f t="shared" ref="AV68:AV101" si="24">IF(ISNUMBER(Q67),"Valid Number","Not Numeric")</f>
        <v>Valid Number</v>
      </c>
      <c r="AW68" s="11" t="str">
        <f t="shared" ref="AW68:AW101" si="25">IF(ISTEXT(AB67),"Text","Not Text")</f>
        <v>Text</v>
      </c>
      <c r="AX68" s="11" t="str">
        <f t="shared" ref="AX68:AX101" si="26">IF(ISBLANK(V68),"Blank","Not Blank")</f>
        <v>Not Blank</v>
      </c>
      <c r="AY68" s="11" t="str">
        <f t="shared" ref="AY68:AY101" si="27">IF(TRIM(D67)="","Missing Email",IF(ISERROR(SEARCH("@",D67)),"Invalid Email",IF(D67&lt;&gt;TRIM(D67),"Needs Cleaning","Valid")))</f>
        <v>Invalid Email</v>
      </c>
      <c r="AZ68" s="12" t="str">
        <f t="shared" ref="AZ68:AZ101" si="28">IF(W67="Returned","Returned Order",IF(AND(N67-M67&gt;7,U67&gt;3000),"Critical Delay",IF(N67-M67&gt;5,"Late","On Time")))</f>
        <v>Returned Order</v>
      </c>
      <c r="BA68" s="11" t="str">
        <f t="shared" ref="BA68:BA101" si="29">IF(ISBLANK(V67),"Unknown",IF(AND(V67&lt;=2,AC67=TRUE),"High Risk",IF(V67=3,"Medium Risk",IF(V67&gt;=4,"Low Risk","Unknown"))))</f>
        <v>Low Risk</v>
      </c>
      <c r="BB68" s="12" t="str">
        <f>_xlfn.LET(_xlpm.Category,_xlfn.XLOOKUP(I67,[1]Products_Lookup!A:A,[1]Products_Lookup!B:B,"Not Found"),IF(AND(_xlpm.Category="Electronics",U67&gt;4000),"High Tech Revenue",IF(AND(_xlpm.Category="Furniture",U67&gt;2000),"Premium Furniture","Standard Product")))</f>
        <v>Standard Product</v>
      </c>
    </row>
    <row r="69" spans="1:54" ht="17" x14ac:dyDescent="0.2">
      <c r="A69" s="1" t="s">
        <v>599</v>
      </c>
      <c r="B69" s="1" t="s">
        <v>600</v>
      </c>
      <c r="C69" s="1" t="s">
        <v>601</v>
      </c>
      <c r="D69" s="1" t="s">
        <v>602</v>
      </c>
      <c r="E69" s="1" t="s">
        <v>83</v>
      </c>
      <c r="F69" s="1" t="s">
        <v>62</v>
      </c>
      <c r="G69" s="1" t="s">
        <v>63</v>
      </c>
      <c r="H69" s="1" t="s">
        <v>64</v>
      </c>
      <c r="I69" s="1" t="s">
        <v>102</v>
      </c>
      <c r="J69" s="1" t="s">
        <v>103</v>
      </c>
      <c r="K69" s="1" t="s">
        <v>104</v>
      </c>
      <c r="L69" s="1" t="s">
        <v>105</v>
      </c>
      <c r="M69" s="1" t="s">
        <v>603</v>
      </c>
      <c r="N69" s="1" t="s">
        <v>189</v>
      </c>
      <c r="O69" s="1" t="s">
        <v>108</v>
      </c>
      <c r="P69" s="1" t="s">
        <v>109</v>
      </c>
      <c r="Q69" s="1">
        <v>2</v>
      </c>
      <c r="R69" s="1">
        <v>900</v>
      </c>
      <c r="S69" s="1">
        <v>0</v>
      </c>
      <c r="T69" s="1">
        <v>10.68</v>
      </c>
      <c r="U69" s="1">
        <v>1810.68</v>
      </c>
      <c r="V69" s="1">
        <v>4</v>
      </c>
      <c r="W69" s="1" t="s">
        <v>72</v>
      </c>
      <c r="X69" s="1" t="s">
        <v>141</v>
      </c>
      <c r="Y69" s="1" t="s">
        <v>110</v>
      </c>
      <c r="Z69" s="1" t="s">
        <v>604</v>
      </c>
      <c r="AA69" s="1" t="s">
        <v>605</v>
      </c>
      <c r="AB69" s="1" t="s">
        <v>132</v>
      </c>
      <c r="AC69" s="1" t="s">
        <v>133</v>
      </c>
      <c r="AD69" s="1">
        <v>1</v>
      </c>
      <c r="AE69" s="1"/>
      <c r="AF69" s="1" t="e">
        <v>#VALUE!</v>
      </c>
      <c r="AG69" s="1" t="s">
        <v>78</v>
      </c>
      <c r="AH69" s="11" t="str">
        <f t="shared" si="15"/>
        <v>2801</v>
      </c>
      <c r="AI69" s="11">
        <f t="shared" si="16"/>
        <v>15</v>
      </c>
      <c r="AJ69" s="11" t="str">
        <f t="shared" si="17"/>
        <v>Late delivery</v>
      </c>
      <c r="AK69" s="11" t="str">
        <f t="shared" si="18"/>
        <v>O0068 - Laptop - Jordan</v>
      </c>
      <c r="AL69" s="11" t="e">
        <f t="shared" si="19"/>
        <v>#VALUE!</v>
      </c>
      <c r="AM69" s="11" t="e">
        <f t="shared" si="20"/>
        <v>#VALUE!</v>
      </c>
      <c r="AN69" s="11" t="str">
        <f t="shared" si="21"/>
        <v>On Time</v>
      </c>
      <c r="AO69" s="11" t="str">
        <f t="shared" si="22"/>
        <v>Platinum</v>
      </c>
      <c r="AP69" s="12" t="str">
        <f t="shared" si="23"/>
        <v>Critical</v>
      </c>
      <c r="AV69" s="11" t="str">
        <f t="shared" si="24"/>
        <v>Not Numeric</v>
      </c>
      <c r="AW69" s="11" t="str">
        <f t="shared" si="25"/>
        <v>Text</v>
      </c>
      <c r="AX69" s="11" t="str">
        <f t="shared" si="26"/>
        <v>Not Blank</v>
      </c>
      <c r="AY69" s="11" t="str">
        <f t="shared" si="27"/>
        <v>Invalid Email</v>
      </c>
      <c r="AZ69" s="12" t="str">
        <f t="shared" si="28"/>
        <v>On Time</v>
      </c>
      <c r="BA69" s="11" t="str">
        <f t="shared" si="29"/>
        <v>Low Risk</v>
      </c>
      <c r="BB69" s="12" t="str">
        <f>_xlfn.LET(_xlpm.Category,_xlfn.XLOOKUP(I68,[1]Products_Lookup!A:A,[1]Products_Lookup!B:B,"Not Found"),IF(AND(_xlpm.Category="Electronics",U68&gt;4000),"High Tech Revenue",IF(AND(_xlpm.Category="Furniture",U68&gt;2000),"Premium Furniture","Standard Product")))</f>
        <v>Standard Product</v>
      </c>
    </row>
    <row r="70" spans="1:54" ht="17" x14ac:dyDescent="0.2">
      <c r="A70" s="1" t="s">
        <v>606</v>
      </c>
      <c r="B70" s="1" t="s">
        <v>607</v>
      </c>
      <c r="C70" s="1" t="s">
        <v>608</v>
      </c>
      <c r="D70" s="1" t="s">
        <v>609</v>
      </c>
      <c r="E70" s="1" t="s">
        <v>37</v>
      </c>
      <c r="F70" s="1" t="s">
        <v>38</v>
      </c>
      <c r="G70" s="1" t="s">
        <v>39</v>
      </c>
      <c r="H70" s="1" t="s">
        <v>40</v>
      </c>
      <c r="I70" s="1" t="s">
        <v>41</v>
      </c>
      <c r="J70" s="1" t="s">
        <v>42</v>
      </c>
      <c r="K70" s="1" t="s">
        <v>43</v>
      </c>
      <c r="L70" s="1" t="s">
        <v>44</v>
      </c>
      <c r="M70" s="1" t="s">
        <v>610</v>
      </c>
      <c r="N70" s="1" t="s">
        <v>576</v>
      </c>
      <c r="O70" s="1" t="s">
        <v>90</v>
      </c>
      <c r="P70" s="1" t="s">
        <v>109</v>
      </c>
      <c r="Q70" s="1" t="s">
        <v>37</v>
      </c>
      <c r="R70" s="1">
        <v>150</v>
      </c>
      <c r="S70" s="1">
        <v>0</v>
      </c>
      <c r="T70" s="1">
        <v>14.48</v>
      </c>
      <c r="U70" s="1">
        <v>764.48</v>
      </c>
      <c r="V70" s="1">
        <v>4</v>
      </c>
      <c r="W70" s="1" t="s">
        <v>49</v>
      </c>
      <c r="X70" s="1" t="s">
        <v>50</v>
      </c>
      <c r="Y70" s="1" t="s">
        <v>51</v>
      </c>
      <c r="Z70" s="1" t="s">
        <v>611</v>
      </c>
      <c r="AA70" s="1" t="s">
        <v>612</v>
      </c>
      <c r="AB70" s="1" t="s">
        <v>54</v>
      </c>
      <c r="AC70" s="1" t="s">
        <v>55</v>
      </c>
      <c r="AD70" s="1">
        <v>3</v>
      </c>
      <c r="AE70" s="1" t="s">
        <v>77</v>
      </c>
      <c r="AF70" s="1"/>
      <c r="AG70" s="1" t="s">
        <v>57</v>
      </c>
      <c r="AH70" s="11" t="str">
        <f t="shared" si="15"/>
        <v>6477</v>
      </c>
      <c r="AI70" s="11">
        <f t="shared" si="16"/>
        <v>17</v>
      </c>
      <c r="AJ70" s="11" t="str">
        <f t="shared" si="17"/>
        <v>Excellent service</v>
      </c>
      <c r="AK70" s="11" t="str">
        <f t="shared" si="18"/>
        <v>O0069 - Phone - Saudi Arabia</v>
      </c>
      <c r="AL70" s="11" t="e">
        <f t="shared" si="19"/>
        <v>#VALUE!</v>
      </c>
      <c r="AM70" s="11">
        <f t="shared" si="20"/>
        <v>2</v>
      </c>
      <c r="AN70" s="11" t="str">
        <f t="shared" si="21"/>
        <v>Late</v>
      </c>
      <c r="AO70" s="11" t="str">
        <f t="shared" si="22"/>
        <v>Silver</v>
      </c>
      <c r="AP70" s="12" t="str">
        <f t="shared" si="23"/>
        <v>Medium</v>
      </c>
      <c r="AV70" s="11" t="str">
        <f t="shared" si="24"/>
        <v>Valid Number</v>
      </c>
      <c r="AW70" s="11" t="str">
        <f t="shared" si="25"/>
        <v>Text</v>
      </c>
      <c r="AX70" s="11" t="str">
        <f t="shared" si="26"/>
        <v>Not Blank</v>
      </c>
      <c r="AY70" s="11" t="str">
        <f t="shared" si="27"/>
        <v>Invalid Email</v>
      </c>
      <c r="AZ70" s="12" t="str">
        <f t="shared" si="28"/>
        <v>Late</v>
      </c>
      <c r="BA70" s="11" t="str">
        <f t="shared" si="29"/>
        <v>Low Risk</v>
      </c>
      <c r="BB70" s="12" t="str">
        <f>_xlfn.LET(_xlpm.Category,_xlfn.XLOOKUP(I69,[1]Products_Lookup!A:A,[1]Products_Lookup!B:B,"Not Found"),IF(AND(_xlpm.Category="Electronics",U69&gt;4000),"High Tech Revenue",IF(AND(_xlpm.Category="Furniture",U69&gt;2000),"Premium Furniture","Standard Product")))</f>
        <v>Standard Product</v>
      </c>
    </row>
    <row r="71" spans="1:54" ht="17" x14ac:dyDescent="0.2">
      <c r="A71" s="1" t="s">
        <v>613</v>
      </c>
      <c r="B71" s="1" t="s">
        <v>614</v>
      </c>
      <c r="C71" s="1" t="s">
        <v>615</v>
      </c>
      <c r="D71" s="1" t="s">
        <v>616</v>
      </c>
      <c r="E71" s="1" t="s">
        <v>617</v>
      </c>
      <c r="F71" s="1" t="s">
        <v>62</v>
      </c>
      <c r="G71" s="1" t="s">
        <v>63</v>
      </c>
      <c r="H71" s="1" t="s">
        <v>64</v>
      </c>
      <c r="I71" s="1" t="s">
        <v>65</v>
      </c>
      <c r="J71" s="1" t="s">
        <v>66</v>
      </c>
      <c r="K71" s="1" t="s">
        <v>67</v>
      </c>
      <c r="L71" s="1" t="s">
        <v>68</v>
      </c>
      <c r="M71" s="1" t="s">
        <v>284</v>
      </c>
      <c r="N71" s="1" t="s">
        <v>618</v>
      </c>
      <c r="O71" s="1" t="s">
        <v>90</v>
      </c>
      <c r="P71" s="1" t="s">
        <v>109</v>
      </c>
      <c r="Q71" s="1">
        <v>8</v>
      </c>
      <c r="R71" s="1">
        <v>220</v>
      </c>
      <c r="S71" s="1">
        <v>15</v>
      </c>
      <c r="T71" s="1">
        <v>11.53</v>
      </c>
      <c r="U71" s="1">
        <v>1507.53</v>
      </c>
      <c r="V71" s="1">
        <v>2</v>
      </c>
      <c r="W71" s="1" t="s">
        <v>72</v>
      </c>
      <c r="X71" s="1"/>
      <c r="Y71" s="1" t="s">
        <v>91</v>
      </c>
      <c r="Z71" s="1" t="s">
        <v>619</v>
      </c>
      <c r="AA71" s="1" t="s">
        <v>620</v>
      </c>
      <c r="AB71" s="1" t="s">
        <v>192</v>
      </c>
      <c r="AC71" s="1" t="s">
        <v>133</v>
      </c>
      <c r="AD71" s="1">
        <v>2</v>
      </c>
      <c r="AE71" s="1" t="s">
        <v>94</v>
      </c>
      <c r="AF71" s="1" t="e">
        <v>#VALUE!</v>
      </c>
      <c r="AG71" s="1" t="s">
        <v>57</v>
      </c>
      <c r="AH71" s="11" t="str">
        <f t="shared" si="15"/>
        <v>1526</v>
      </c>
      <c r="AI71" s="11">
        <f t="shared" si="16"/>
        <v>4</v>
      </c>
      <c r="AJ71" s="11" t="str">
        <f t="shared" si="17"/>
        <v>Good</v>
      </c>
      <c r="AK71" s="11" t="str">
        <f t="shared" si="18"/>
        <v>O0070 - Headphones - Jordan</v>
      </c>
      <c r="AL71" s="11">
        <f t="shared" si="19"/>
        <v>7</v>
      </c>
      <c r="AM71" s="11" t="e">
        <f t="shared" si="20"/>
        <v>#VALUE!</v>
      </c>
      <c r="AN71" s="11" t="str">
        <f t="shared" si="21"/>
        <v>Late</v>
      </c>
      <c r="AO71" s="11" t="str">
        <f t="shared" si="22"/>
        <v>Bronze</v>
      </c>
      <c r="AP71" s="12" t="str">
        <f t="shared" si="23"/>
        <v>High</v>
      </c>
      <c r="AV71" s="11" t="str">
        <f t="shared" si="24"/>
        <v>Not Numeric</v>
      </c>
      <c r="AW71" s="11" t="str">
        <f t="shared" si="25"/>
        <v>Text</v>
      </c>
      <c r="AX71" s="11" t="str">
        <f t="shared" si="26"/>
        <v>Not Blank</v>
      </c>
      <c r="AY71" s="11" t="str">
        <f t="shared" si="27"/>
        <v>Valid</v>
      </c>
      <c r="AZ71" s="12" t="str">
        <f t="shared" si="28"/>
        <v>Returned Order</v>
      </c>
      <c r="BA71" s="11" t="str">
        <f t="shared" si="29"/>
        <v>Low Risk</v>
      </c>
      <c r="BB71" s="12" t="str">
        <f>_xlfn.LET(_xlpm.Category,_xlfn.XLOOKUP(I70,[1]Products_Lookup!A:A,[1]Products_Lookup!B:B,"Not Found"),IF(AND(_xlpm.Category="Electronics",U70&gt;4000),"High Tech Revenue",IF(AND(_xlpm.Category="Furniture",U70&gt;2000),"Premium Furniture","Standard Product")))</f>
        <v>Standard Product</v>
      </c>
    </row>
    <row r="72" spans="1:54" ht="17" x14ac:dyDescent="0.2">
      <c r="A72" s="1" t="s">
        <v>621</v>
      </c>
      <c r="B72" s="1" t="s">
        <v>622</v>
      </c>
      <c r="C72" s="1" t="s">
        <v>623</v>
      </c>
      <c r="D72" s="1" t="s">
        <v>624</v>
      </c>
      <c r="E72" s="1" t="s">
        <v>625</v>
      </c>
      <c r="F72" s="1" t="s">
        <v>99</v>
      </c>
      <c r="G72" s="1" t="s">
        <v>100</v>
      </c>
      <c r="H72" s="1" t="s">
        <v>101</v>
      </c>
      <c r="I72" s="1" t="s">
        <v>41</v>
      </c>
      <c r="J72" s="1" t="s">
        <v>42</v>
      </c>
      <c r="K72" s="1" t="s">
        <v>43</v>
      </c>
      <c r="L72" s="1" t="s">
        <v>44</v>
      </c>
      <c r="M72" s="1" t="s">
        <v>626</v>
      </c>
      <c r="N72" s="1" t="s">
        <v>627</v>
      </c>
      <c r="O72" s="1" t="s">
        <v>90</v>
      </c>
      <c r="P72" s="1" t="s">
        <v>154</v>
      </c>
      <c r="Q72" s="1">
        <v>6</v>
      </c>
      <c r="R72" s="1">
        <v>150</v>
      </c>
      <c r="S72" s="1">
        <v>15</v>
      </c>
      <c r="T72" s="1">
        <v>9.2100000000000009</v>
      </c>
      <c r="U72" s="1">
        <v>774.21</v>
      </c>
      <c r="V72" s="1">
        <v>4</v>
      </c>
      <c r="W72" s="1" t="s">
        <v>49</v>
      </c>
      <c r="X72" s="1" t="s">
        <v>73</v>
      </c>
      <c r="Y72" s="1" t="s">
        <v>200</v>
      </c>
      <c r="Z72" s="1" t="s">
        <v>628</v>
      </c>
      <c r="AA72" s="1" t="s">
        <v>629</v>
      </c>
      <c r="AB72" s="1" t="s">
        <v>192</v>
      </c>
      <c r="AC72" s="1" t="s">
        <v>55</v>
      </c>
      <c r="AD72" s="1">
        <v>2</v>
      </c>
      <c r="AE72" s="1" t="s">
        <v>56</v>
      </c>
      <c r="AF72" s="1" t="s">
        <v>113</v>
      </c>
      <c r="AG72" s="1"/>
      <c r="AH72" s="11" t="str">
        <f t="shared" si="15"/>
        <v>4312</v>
      </c>
      <c r="AI72" s="11">
        <f t="shared" si="16"/>
        <v>15</v>
      </c>
      <c r="AJ72" s="11" t="str">
        <f t="shared" si="17"/>
        <v>Late delivery</v>
      </c>
      <c r="AK72" s="11" t="str">
        <f t="shared" si="18"/>
        <v>O0071 - Desk Chair - Saudi Arabia</v>
      </c>
      <c r="AL72" s="11">
        <f t="shared" si="19"/>
        <v>7</v>
      </c>
      <c r="AM72" s="11">
        <f t="shared" si="20"/>
        <v>8</v>
      </c>
      <c r="AN72" s="11" t="str">
        <f t="shared" si="21"/>
        <v>Late</v>
      </c>
      <c r="AO72" s="11" t="str">
        <f t="shared" si="22"/>
        <v>Silver</v>
      </c>
      <c r="AP72" s="12" t="str">
        <f t="shared" si="23"/>
        <v>High</v>
      </c>
      <c r="AV72" s="11" t="str">
        <f t="shared" si="24"/>
        <v>Valid Number</v>
      </c>
      <c r="AW72" s="11" t="str">
        <f t="shared" si="25"/>
        <v>Text</v>
      </c>
      <c r="AX72" s="11" t="str">
        <f t="shared" si="26"/>
        <v>Not Blank</v>
      </c>
      <c r="AY72" s="11" t="str">
        <f t="shared" si="27"/>
        <v>Valid</v>
      </c>
      <c r="AZ72" s="12" t="str">
        <f t="shared" si="28"/>
        <v>Late</v>
      </c>
      <c r="BA72" s="11" t="str">
        <f t="shared" si="29"/>
        <v>Unknown</v>
      </c>
      <c r="BB72" s="12" t="str">
        <f>_xlfn.LET(_xlpm.Category,_xlfn.XLOOKUP(I71,[1]Products_Lookup!A:A,[1]Products_Lookup!B:B,"Not Found"),IF(AND(_xlpm.Category="Electronics",U71&gt;4000),"High Tech Revenue",IF(AND(_xlpm.Category="Furniture",U71&gt;2000),"Premium Furniture","Standard Product")))</f>
        <v>Standard Product</v>
      </c>
    </row>
    <row r="73" spans="1:54" ht="17" x14ac:dyDescent="0.2">
      <c r="A73" s="1" t="s">
        <v>630</v>
      </c>
      <c r="B73" s="1" t="s">
        <v>631</v>
      </c>
      <c r="C73" s="1" t="s">
        <v>632</v>
      </c>
      <c r="D73" s="1" t="s">
        <v>872</v>
      </c>
      <c r="E73" s="1" t="s">
        <v>83</v>
      </c>
      <c r="F73" s="1" t="s">
        <v>38</v>
      </c>
      <c r="G73" s="1" t="s">
        <v>39</v>
      </c>
      <c r="H73" s="1" t="s">
        <v>40</v>
      </c>
      <c r="I73" s="1" t="s">
        <v>102</v>
      </c>
      <c r="J73" s="1" t="s">
        <v>103</v>
      </c>
      <c r="K73" s="1" t="s">
        <v>104</v>
      </c>
      <c r="L73" s="1" t="s">
        <v>105</v>
      </c>
      <c r="M73" s="1" t="s">
        <v>118</v>
      </c>
      <c r="N73" s="1" t="s">
        <v>162</v>
      </c>
      <c r="O73" s="1" t="s">
        <v>71</v>
      </c>
      <c r="P73" s="1" t="s">
        <v>48</v>
      </c>
      <c r="Q73" s="1">
        <v>8</v>
      </c>
      <c r="R73" s="1">
        <v>900</v>
      </c>
      <c r="S73" s="1">
        <v>10</v>
      </c>
      <c r="T73" s="1">
        <v>17.809999999999999</v>
      </c>
      <c r="U73" s="1">
        <v>6497.81</v>
      </c>
      <c r="V73" s="1"/>
      <c r="W73" s="1" t="s">
        <v>94</v>
      </c>
      <c r="X73" s="1" t="s">
        <v>141</v>
      </c>
      <c r="Y73" s="1" t="s">
        <v>163</v>
      </c>
      <c r="Z73" s="1" t="s">
        <v>633</v>
      </c>
      <c r="AA73" s="1" t="s">
        <v>634</v>
      </c>
      <c r="AB73" s="1"/>
      <c r="AC73" s="1" t="s">
        <v>55</v>
      </c>
      <c r="AD73" s="1">
        <v>1</v>
      </c>
      <c r="AE73" s="1"/>
      <c r="AF73" s="1" t="e">
        <v>#N/A</v>
      </c>
      <c r="AG73" s="1"/>
      <c r="AH73" s="11" t="str">
        <f t="shared" si="15"/>
        <v>7553</v>
      </c>
      <c r="AI73" s="11">
        <f t="shared" si="16"/>
        <v>15</v>
      </c>
      <c r="AJ73" s="11" t="str">
        <f t="shared" si="17"/>
        <v>Late delivery</v>
      </c>
      <c r="AK73" s="11" t="str">
        <f t="shared" si="18"/>
        <v>O0072 - Headphones - Egypt</v>
      </c>
      <c r="AL73" s="11">
        <f t="shared" si="19"/>
        <v>8</v>
      </c>
      <c r="AM73" s="11">
        <f t="shared" si="20"/>
        <v>6</v>
      </c>
      <c r="AN73" s="11" t="str">
        <f t="shared" si="21"/>
        <v>On Time</v>
      </c>
      <c r="AO73" s="11" t="str">
        <f t="shared" si="22"/>
        <v>Bronze</v>
      </c>
      <c r="AP73" s="12" t="str">
        <f t="shared" si="23"/>
        <v>Critical</v>
      </c>
      <c r="AV73" s="11" t="str">
        <f t="shared" si="24"/>
        <v>Valid Number</v>
      </c>
      <c r="AW73" s="11" t="str">
        <f t="shared" si="25"/>
        <v>Text</v>
      </c>
      <c r="AX73" s="11" t="str">
        <f t="shared" si="26"/>
        <v>Blank</v>
      </c>
      <c r="AY73" s="11" t="str">
        <f t="shared" si="27"/>
        <v>Needs Cleaning</v>
      </c>
      <c r="AZ73" s="12" t="str">
        <f t="shared" si="28"/>
        <v>Returned Order</v>
      </c>
      <c r="BA73" s="11" t="str">
        <f t="shared" si="29"/>
        <v>Low Risk</v>
      </c>
      <c r="BB73" s="12" t="str">
        <f>_xlfn.LET(_xlpm.Category,_xlfn.XLOOKUP(I72,[1]Products_Lookup!A:A,[1]Products_Lookup!B:B,"Not Found"),IF(AND(_xlpm.Category="Electronics",U72&gt;4000),"High Tech Revenue",IF(AND(_xlpm.Category="Furniture",U72&gt;2000),"Premium Furniture","Standard Product")))</f>
        <v>Standard Product</v>
      </c>
    </row>
    <row r="74" spans="1:54" ht="17" x14ac:dyDescent="0.2">
      <c r="A74" s="1" t="s">
        <v>635</v>
      </c>
      <c r="B74" s="1" t="s">
        <v>636</v>
      </c>
      <c r="C74" s="1" t="s">
        <v>637</v>
      </c>
      <c r="D74" s="1" t="s">
        <v>638</v>
      </c>
      <c r="E74" s="1" t="s">
        <v>83</v>
      </c>
      <c r="F74" s="1" t="s">
        <v>38</v>
      </c>
      <c r="G74" s="1" t="s">
        <v>39</v>
      </c>
      <c r="H74" s="1" t="s">
        <v>40</v>
      </c>
      <c r="I74" s="1" t="s">
        <v>41</v>
      </c>
      <c r="J74" s="1" t="s">
        <v>42</v>
      </c>
      <c r="K74" s="1" t="s">
        <v>43</v>
      </c>
      <c r="L74" s="1" t="s">
        <v>44</v>
      </c>
      <c r="M74" s="1" t="s">
        <v>340</v>
      </c>
      <c r="N74" s="1" t="s">
        <v>639</v>
      </c>
      <c r="O74" s="1" t="s">
        <v>90</v>
      </c>
      <c r="P74" s="1" t="s">
        <v>48</v>
      </c>
      <c r="Q74" s="1">
        <v>6</v>
      </c>
      <c r="R74" s="1">
        <v>150</v>
      </c>
      <c r="S74" s="1">
        <v>10</v>
      </c>
      <c r="T74" s="1">
        <v>11.66</v>
      </c>
      <c r="U74" s="1">
        <v>821.66</v>
      </c>
      <c r="V74" s="1">
        <v>5</v>
      </c>
      <c r="W74" s="1" t="s">
        <v>49</v>
      </c>
      <c r="X74" s="1" t="s">
        <v>73</v>
      </c>
      <c r="Y74" s="1" t="s">
        <v>91</v>
      </c>
      <c r="Z74" s="1" t="s">
        <v>640</v>
      </c>
      <c r="AA74" s="1" t="s">
        <v>641</v>
      </c>
      <c r="AB74" s="1" t="s">
        <v>192</v>
      </c>
      <c r="AC74" s="1" t="s">
        <v>55</v>
      </c>
      <c r="AD74" s="1">
        <v>3</v>
      </c>
      <c r="AE74" s="1"/>
      <c r="AF74" s="1" t="s">
        <v>113</v>
      </c>
      <c r="AG74" s="1" t="s">
        <v>78</v>
      </c>
      <c r="AH74" s="11" t="str">
        <f t="shared" si="15"/>
        <v>4109</v>
      </c>
      <c r="AI74" s="11">
        <f t="shared" si="16"/>
        <v>0</v>
      </c>
      <c r="AJ74" s="11" t="str">
        <f t="shared" si="17"/>
        <v/>
      </c>
      <c r="AK74" s="11" t="str">
        <f t="shared" si="18"/>
        <v>O0073 - Phone - Jordan</v>
      </c>
      <c r="AL74" s="11">
        <f t="shared" si="19"/>
        <v>9</v>
      </c>
      <c r="AM74" s="11">
        <f t="shared" si="20"/>
        <v>8</v>
      </c>
      <c r="AN74" s="11" t="str">
        <f t="shared" si="21"/>
        <v>Late</v>
      </c>
      <c r="AO74" s="11" t="str">
        <f t="shared" si="22"/>
        <v>Platinum</v>
      </c>
      <c r="AP74" s="12" t="str">
        <f t="shared" si="23"/>
        <v>Medium</v>
      </c>
      <c r="AV74" s="11" t="str">
        <f t="shared" si="24"/>
        <v>Valid Number</v>
      </c>
      <c r="AW74" s="11" t="str">
        <f t="shared" si="25"/>
        <v>Not Text</v>
      </c>
      <c r="AX74" s="11" t="str">
        <f t="shared" si="26"/>
        <v>Not Blank</v>
      </c>
      <c r="AY74" s="11" t="str">
        <f t="shared" si="27"/>
        <v>Needs Cleaning</v>
      </c>
      <c r="AZ74" s="12" t="str">
        <f t="shared" si="28"/>
        <v>Critical Delay</v>
      </c>
      <c r="BA74" s="11" t="str">
        <f t="shared" si="29"/>
        <v>Unknown</v>
      </c>
      <c r="BB74" s="12" t="str">
        <f>_xlfn.LET(_xlpm.Category,_xlfn.XLOOKUP(I73,[1]Products_Lookup!A:A,[1]Products_Lookup!B:B,"Not Found"),IF(AND(_xlpm.Category="Electronics",U73&gt;4000),"High Tech Revenue",IF(AND(_xlpm.Category="Furniture",U73&gt;2000),"Premium Furniture","Standard Product")))</f>
        <v>Standard Product</v>
      </c>
    </row>
    <row r="75" spans="1:54" ht="17" x14ac:dyDescent="0.2">
      <c r="A75" s="1" t="s">
        <v>642</v>
      </c>
      <c r="B75" s="1" t="s">
        <v>643</v>
      </c>
      <c r="C75" s="1" t="s">
        <v>644</v>
      </c>
      <c r="D75" s="1" t="s">
        <v>645</v>
      </c>
      <c r="E75" s="1" t="s">
        <v>646</v>
      </c>
      <c r="F75" s="1" t="s">
        <v>38</v>
      </c>
      <c r="G75" s="1" t="s">
        <v>39</v>
      </c>
      <c r="H75" s="1" t="s">
        <v>40</v>
      </c>
      <c r="I75" s="1" t="s">
        <v>149</v>
      </c>
      <c r="J75" s="1" t="s">
        <v>150</v>
      </c>
      <c r="K75" s="1" t="s">
        <v>104</v>
      </c>
      <c r="L75" s="1" t="s">
        <v>151</v>
      </c>
      <c r="M75" s="1" t="s">
        <v>140</v>
      </c>
      <c r="N75" s="1" t="s">
        <v>46</v>
      </c>
      <c r="O75" s="1" t="s">
        <v>71</v>
      </c>
      <c r="P75" s="1" t="s">
        <v>109</v>
      </c>
      <c r="Q75" s="1" t="s">
        <v>37</v>
      </c>
      <c r="R75" s="1">
        <v>1200</v>
      </c>
      <c r="S75" s="1">
        <v>5</v>
      </c>
      <c r="T75" s="1">
        <v>6.81</v>
      </c>
      <c r="U75" s="1">
        <v>7986.81</v>
      </c>
      <c r="V75" s="1"/>
      <c r="W75" s="1" t="s">
        <v>49</v>
      </c>
      <c r="X75" s="1" t="s">
        <v>73</v>
      </c>
      <c r="Y75" s="1" t="s">
        <v>236</v>
      </c>
      <c r="Z75" s="1" t="s">
        <v>647</v>
      </c>
      <c r="AA75" s="1" t="s">
        <v>648</v>
      </c>
      <c r="AB75" s="1" t="s">
        <v>54</v>
      </c>
      <c r="AC75" s="1" t="s">
        <v>133</v>
      </c>
      <c r="AD75" s="1">
        <v>3</v>
      </c>
      <c r="AE75" s="1" t="s">
        <v>56</v>
      </c>
      <c r="AF75" s="1"/>
      <c r="AG75" s="1"/>
      <c r="AH75" s="11" t="str">
        <f t="shared" si="15"/>
        <v>7077</v>
      </c>
      <c r="AI75" s="11">
        <f t="shared" si="16"/>
        <v>15</v>
      </c>
      <c r="AJ75" s="11" t="str">
        <f t="shared" si="17"/>
        <v>Late delivery</v>
      </c>
      <c r="AK75" s="11" t="str">
        <f t="shared" si="18"/>
        <v>O0074 - Headphones - Jordan</v>
      </c>
      <c r="AL75" s="11" t="e">
        <f t="shared" si="19"/>
        <v>#VALUE!</v>
      </c>
      <c r="AM75" s="11">
        <f t="shared" si="20"/>
        <v>6</v>
      </c>
      <c r="AN75" s="11" t="str">
        <f t="shared" si="21"/>
        <v>On Time</v>
      </c>
      <c r="AO75" s="11" t="str">
        <f t="shared" si="22"/>
        <v>Bronze</v>
      </c>
      <c r="AP75" s="12" t="str">
        <f t="shared" si="23"/>
        <v>Medium</v>
      </c>
      <c r="AV75" s="11" t="str">
        <f t="shared" si="24"/>
        <v>Valid Number</v>
      </c>
      <c r="AW75" s="11" t="str">
        <f t="shared" si="25"/>
        <v>Text</v>
      </c>
      <c r="AX75" s="11" t="str">
        <f t="shared" si="26"/>
        <v>Blank</v>
      </c>
      <c r="AY75" s="11" t="str">
        <f t="shared" si="27"/>
        <v>Invalid Email</v>
      </c>
      <c r="AZ75" s="12" t="str">
        <f t="shared" si="28"/>
        <v>Returned Order</v>
      </c>
      <c r="BA75" s="11" t="str">
        <f t="shared" si="29"/>
        <v>Low Risk</v>
      </c>
      <c r="BB75" s="12" t="str">
        <f>_xlfn.LET(_xlpm.Category,_xlfn.XLOOKUP(I74,[1]Products_Lookup!A:A,[1]Products_Lookup!B:B,"Not Found"),IF(AND(_xlpm.Category="Electronics",U74&gt;4000),"High Tech Revenue",IF(AND(_xlpm.Category="Furniture",U74&gt;2000),"Premium Furniture","Standard Product")))</f>
        <v>Standard Product</v>
      </c>
    </row>
    <row r="76" spans="1:54" ht="17" x14ac:dyDescent="0.2">
      <c r="A76" s="1" t="s">
        <v>649</v>
      </c>
      <c r="B76" s="1" t="s">
        <v>650</v>
      </c>
      <c r="C76" s="1" t="s">
        <v>651</v>
      </c>
      <c r="D76" s="1" t="s">
        <v>652</v>
      </c>
      <c r="E76" s="1" t="s">
        <v>37</v>
      </c>
      <c r="F76" s="1" t="s">
        <v>38</v>
      </c>
      <c r="G76" s="1" t="s">
        <v>39</v>
      </c>
      <c r="H76" s="1" t="s">
        <v>40</v>
      </c>
      <c r="I76" s="1" t="s">
        <v>102</v>
      </c>
      <c r="J76" s="1" t="s">
        <v>103</v>
      </c>
      <c r="K76" s="1" t="s">
        <v>104</v>
      </c>
      <c r="L76" s="1" t="s">
        <v>105</v>
      </c>
      <c r="M76" s="1" t="s">
        <v>653</v>
      </c>
      <c r="N76" s="1" t="s">
        <v>654</v>
      </c>
      <c r="O76" s="1" t="s">
        <v>71</v>
      </c>
      <c r="P76" s="1" t="s">
        <v>154</v>
      </c>
      <c r="Q76" s="1" t="s">
        <v>37</v>
      </c>
      <c r="R76" s="1">
        <v>900</v>
      </c>
      <c r="S76" s="1">
        <v>10</v>
      </c>
      <c r="T76" s="1">
        <v>3.67</v>
      </c>
      <c r="U76" s="1">
        <v>2433.67</v>
      </c>
      <c r="V76" s="1"/>
      <c r="W76" s="1" t="s">
        <v>49</v>
      </c>
      <c r="X76" s="1"/>
      <c r="Y76" s="1" t="s">
        <v>236</v>
      </c>
      <c r="Z76" s="1" t="s">
        <v>655</v>
      </c>
      <c r="AA76" s="1" t="s">
        <v>656</v>
      </c>
      <c r="AB76" s="1" t="s">
        <v>192</v>
      </c>
      <c r="AC76" s="1" t="s">
        <v>55</v>
      </c>
      <c r="AD76" s="1">
        <v>4</v>
      </c>
      <c r="AE76" s="1"/>
      <c r="AF76" s="1" t="s">
        <v>113</v>
      </c>
      <c r="AG76" s="1" t="s">
        <v>78</v>
      </c>
      <c r="AH76" s="11" t="str">
        <f t="shared" si="15"/>
        <v>0930</v>
      </c>
      <c r="AI76" s="11">
        <f t="shared" si="16"/>
        <v>4</v>
      </c>
      <c r="AJ76" s="11" t="str">
        <f t="shared" si="17"/>
        <v>Good</v>
      </c>
      <c r="AK76" s="11" t="str">
        <f t="shared" si="18"/>
        <v>O0075 - Laptop - Jordan</v>
      </c>
      <c r="AL76" s="11">
        <f t="shared" si="19"/>
        <v>8</v>
      </c>
      <c r="AM76" s="11" t="e">
        <f t="shared" si="20"/>
        <v>#VALUE!</v>
      </c>
      <c r="AN76" s="11" t="str">
        <f t="shared" si="21"/>
        <v>Late</v>
      </c>
      <c r="AO76" s="11" t="str">
        <f t="shared" si="22"/>
        <v>Platinum</v>
      </c>
      <c r="AP76" s="12" t="str">
        <f t="shared" si="23"/>
        <v>Low</v>
      </c>
      <c r="AV76" s="11" t="str">
        <f t="shared" si="24"/>
        <v>Not Numeric</v>
      </c>
      <c r="AW76" s="11" t="str">
        <f t="shared" si="25"/>
        <v>Text</v>
      </c>
      <c r="AX76" s="11" t="str">
        <f t="shared" si="26"/>
        <v>Blank</v>
      </c>
      <c r="AY76" s="11" t="str">
        <f t="shared" si="27"/>
        <v>Needs Cleaning</v>
      </c>
      <c r="AZ76" s="12" t="str">
        <f t="shared" si="28"/>
        <v>Returned Order</v>
      </c>
      <c r="BA76" s="11" t="str">
        <f t="shared" si="29"/>
        <v>Unknown</v>
      </c>
      <c r="BB76" s="12" t="str">
        <f>_xlfn.LET(_xlpm.Category,_xlfn.XLOOKUP(I75,[1]Products_Lookup!A:A,[1]Products_Lookup!B:B,"Not Found"),IF(AND(_xlpm.Category="Electronics",U75&gt;4000),"High Tech Revenue",IF(AND(_xlpm.Category="Furniture",U75&gt;2000),"Premium Furniture","Standard Product")))</f>
        <v>Standard Product</v>
      </c>
    </row>
    <row r="77" spans="1:54" ht="17" x14ac:dyDescent="0.2">
      <c r="A77" s="1" t="s">
        <v>657</v>
      </c>
      <c r="B77" s="1" t="s">
        <v>658</v>
      </c>
      <c r="C77" s="1" t="s">
        <v>659</v>
      </c>
      <c r="D77" s="1" t="s">
        <v>660</v>
      </c>
      <c r="E77" s="1" t="s">
        <v>661</v>
      </c>
      <c r="F77" s="1" t="s">
        <v>99</v>
      </c>
      <c r="G77" s="1" t="s">
        <v>100</v>
      </c>
      <c r="H77" s="1" t="s">
        <v>101</v>
      </c>
      <c r="I77" s="1" t="s">
        <v>149</v>
      </c>
      <c r="J77" s="1" t="s">
        <v>150</v>
      </c>
      <c r="K77" s="1" t="s">
        <v>104</v>
      </c>
      <c r="L77" s="1" t="s">
        <v>151</v>
      </c>
      <c r="M77" s="1" t="s">
        <v>662</v>
      </c>
      <c r="N77" s="1" t="s">
        <v>663</v>
      </c>
      <c r="O77" s="1" t="s">
        <v>90</v>
      </c>
      <c r="P77" s="1" t="s">
        <v>154</v>
      </c>
      <c r="Q77" s="1">
        <v>5</v>
      </c>
      <c r="R77" s="1">
        <v>1200</v>
      </c>
      <c r="S77" s="1">
        <v>20</v>
      </c>
      <c r="T77" s="1">
        <v>7.61</v>
      </c>
      <c r="U77" s="1">
        <v>4807.6099999999997</v>
      </c>
      <c r="V77" s="1">
        <v>1</v>
      </c>
      <c r="W77" s="1" t="s">
        <v>72</v>
      </c>
      <c r="X77" s="1"/>
      <c r="Y77" s="1" t="s">
        <v>254</v>
      </c>
      <c r="Z77" s="1" t="s">
        <v>664</v>
      </c>
      <c r="AA77" s="1" t="s">
        <v>665</v>
      </c>
      <c r="AB77" s="1" t="s">
        <v>192</v>
      </c>
      <c r="AC77" s="1" t="s">
        <v>133</v>
      </c>
      <c r="AD77" s="1">
        <v>2</v>
      </c>
      <c r="AE77" s="1" t="s">
        <v>77</v>
      </c>
      <c r="AF77" s="1" t="e">
        <v>#N/A</v>
      </c>
      <c r="AG77" s="1" t="s">
        <v>57</v>
      </c>
      <c r="AH77" s="11" t="str">
        <f t="shared" si="15"/>
        <v>0730</v>
      </c>
      <c r="AI77" s="11">
        <f t="shared" si="16"/>
        <v>15</v>
      </c>
      <c r="AJ77" s="11" t="str">
        <f t="shared" si="17"/>
        <v>Late delivery</v>
      </c>
      <c r="AK77" s="11" t="str">
        <f t="shared" si="18"/>
        <v>O0076 - Phone - Jordan</v>
      </c>
      <c r="AL77" s="11">
        <f t="shared" si="19"/>
        <v>7</v>
      </c>
      <c r="AM77" s="11" t="e">
        <f t="shared" si="20"/>
        <v>#VALUE!</v>
      </c>
      <c r="AN77" s="11" t="str">
        <f t="shared" si="21"/>
        <v>On Time</v>
      </c>
      <c r="AO77" s="11" t="str">
        <f t="shared" si="22"/>
        <v>Silver</v>
      </c>
      <c r="AP77" s="12" t="str">
        <f t="shared" si="23"/>
        <v>High</v>
      </c>
      <c r="AV77" s="11" t="str">
        <f t="shared" si="24"/>
        <v>Not Numeric</v>
      </c>
      <c r="AW77" s="11" t="str">
        <f t="shared" si="25"/>
        <v>Text</v>
      </c>
      <c r="AX77" s="11" t="str">
        <f t="shared" si="26"/>
        <v>Not Blank</v>
      </c>
      <c r="AY77" s="11" t="str">
        <f t="shared" si="27"/>
        <v>Valid</v>
      </c>
      <c r="AZ77" s="12" t="str">
        <f t="shared" si="28"/>
        <v>Returned Order</v>
      </c>
      <c r="BA77" s="11" t="str">
        <f t="shared" si="29"/>
        <v>Unknown</v>
      </c>
      <c r="BB77" s="12" t="str">
        <f>_xlfn.LET(_xlpm.Category,_xlfn.XLOOKUP(I76,[1]Products_Lookup!A:A,[1]Products_Lookup!B:B,"Not Found"),IF(AND(_xlpm.Category="Electronics",U76&gt;4000),"High Tech Revenue",IF(AND(_xlpm.Category="Furniture",U76&gt;2000),"Premium Furniture","Standard Product")))</f>
        <v>Standard Product</v>
      </c>
    </row>
    <row r="78" spans="1:54" ht="17" x14ac:dyDescent="0.2">
      <c r="A78" s="1" t="s">
        <v>666</v>
      </c>
      <c r="B78" s="1" t="s">
        <v>667</v>
      </c>
      <c r="C78" s="1" t="s">
        <v>668</v>
      </c>
      <c r="D78" s="1" t="s">
        <v>669</v>
      </c>
      <c r="E78" s="1" t="s">
        <v>670</v>
      </c>
      <c r="F78" s="1" t="s">
        <v>38</v>
      </c>
      <c r="G78" s="1" t="s">
        <v>39</v>
      </c>
      <c r="H78" s="1" t="s">
        <v>40</v>
      </c>
      <c r="I78" s="1" t="s">
        <v>149</v>
      </c>
      <c r="J78" s="1" t="s">
        <v>150</v>
      </c>
      <c r="K78" s="1" t="s">
        <v>104</v>
      </c>
      <c r="L78" s="1" t="s">
        <v>151</v>
      </c>
      <c r="M78" s="1" t="s">
        <v>170</v>
      </c>
      <c r="N78" s="1" t="s">
        <v>325</v>
      </c>
      <c r="O78" s="1" t="s">
        <v>90</v>
      </c>
      <c r="P78" s="1" t="s">
        <v>109</v>
      </c>
      <c r="Q78" s="1" t="s">
        <v>37</v>
      </c>
      <c r="R78" s="1">
        <v>1200</v>
      </c>
      <c r="S78" s="1">
        <v>5</v>
      </c>
      <c r="T78" s="1">
        <v>14.65</v>
      </c>
      <c r="U78" s="1">
        <v>11414.65</v>
      </c>
      <c r="V78" s="1">
        <v>4</v>
      </c>
      <c r="W78" s="1" t="s">
        <v>49</v>
      </c>
      <c r="X78" s="1" t="s">
        <v>141</v>
      </c>
      <c r="Y78" s="1" t="s">
        <v>110</v>
      </c>
      <c r="Z78" s="1" t="s">
        <v>671</v>
      </c>
      <c r="AA78" s="1" t="s">
        <v>672</v>
      </c>
      <c r="AB78" s="1" t="s">
        <v>54</v>
      </c>
      <c r="AC78" s="1" t="s">
        <v>55</v>
      </c>
      <c r="AD78" s="1">
        <v>2</v>
      </c>
      <c r="AE78" s="1" t="s">
        <v>56</v>
      </c>
      <c r="AF78" s="1" t="e">
        <v>#VALUE!</v>
      </c>
      <c r="AG78" s="1" t="s">
        <v>57</v>
      </c>
      <c r="AH78" s="11" t="str">
        <f t="shared" si="15"/>
        <v>5092</v>
      </c>
      <c r="AI78" s="11">
        <f t="shared" si="16"/>
        <v>15</v>
      </c>
      <c r="AJ78" s="11" t="str">
        <f t="shared" si="17"/>
        <v>Late delivery</v>
      </c>
      <c r="AK78" s="11" t="str">
        <f t="shared" si="18"/>
        <v>O0077 - Laptop - Egypt</v>
      </c>
      <c r="AL78" s="11">
        <f t="shared" si="19"/>
        <v>8</v>
      </c>
      <c r="AM78" s="11">
        <f t="shared" si="20"/>
        <v>5</v>
      </c>
      <c r="AN78" s="11" t="str">
        <f t="shared" si="21"/>
        <v>On Time</v>
      </c>
      <c r="AO78" s="11" t="str">
        <f t="shared" si="22"/>
        <v>Gold</v>
      </c>
      <c r="AP78" s="12" t="str">
        <f t="shared" si="23"/>
        <v>High</v>
      </c>
      <c r="AV78" s="11" t="str">
        <f t="shared" si="24"/>
        <v>Valid Number</v>
      </c>
      <c r="AW78" s="11" t="str">
        <f t="shared" si="25"/>
        <v>Text</v>
      </c>
      <c r="AX78" s="11" t="str">
        <f t="shared" si="26"/>
        <v>Not Blank</v>
      </c>
      <c r="AY78" s="11" t="str">
        <f t="shared" si="27"/>
        <v>Needs Cleaning</v>
      </c>
      <c r="AZ78" s="12" t="str">
        <f t="shared" si="28"/>
        <v>On Time</v>
      </c>
      <c r="BA78" s="11" t="str">
        <f t="shared" si="29"/>
        <v>Unknown</v>
      </c>
      <c r="BB78" s="12" t="str">
        <f>_xlfn.LET(_xlpm.Category,_xlfn.XLOOKUP(I77,[1]Products_Lookup!A:A,[1]Products_Lookup!B:B,"Not Found"),IF(AND(_xlpm.Category="Electronics",U77&gt;4000),"High Tech Revenue",IF(AND(_xlpm.Category="Furniture",U77&gt;2000),"Premium Furniture","Standard Product")))</f>
        <v>Standard Product</v>
      </c>
    </row>
    <row r="79" spans="1:54" ht="17" x14ac:dyDescent="0.2">
      <c r="A79" s="1" t="s">
        <v>673</v>
      </c>
      <c r="B79" s="1" t="s">
        <v>674</v>
      </c>
      <c r="C79" s="1" t="s">
        <v>675</v>
      </c>
      <c r="D79" s="1" t="s">
        <v>869</v>
      </c>
      <c r="E79" s="1" t="s">
        <v>83</v>
      </c>
      <c r="F79" s="1" t="s">
        <v>99</v>
      </c>
      <c r="G79" s="1" t="s">
        <v>100</v>
      </c>
      <c r="H79" s="1" t="s">
        <v>101</v>
      </c>
      <c r="I79" s="1" t="s">
        <v>149</v>
      </c>
      <c r="J79" s="1" t="s">
        <v>150</v>
      </c>
      <c r="K79" s="1" t="s">
        <v>104</v>
      </c>
      <c r="L79" s="1" t="s">
        <v>151</v>
      </c>
      <c r="M79" s="1" t="s">
        <v>316</v>
      </c>
      <c r="N79" s="1" t="s">
        <v>610</v>
      </c>
      <c r="O79" s="1" t="s">
        <v>47</v>
      </c>
      <c r="P79" s="1" t="s">
        <v>109</v>
      </c>
      <c r="Q79" s="1" t="s">
        <v>37</v>
      </c>
      <c r="R79" s="1">
        <v>1200</v>
      </c>
      <c r="S79" s="1">
        <v>10</v>
      </c>
      <c r="T79" s="1">
        <v>19.78</v>
      </c>
      <c r="U79" s="1">
        <v>8659.7800000000007</v>
      </c>
      <c r="V79" s="1">
        <v>2</v>
      </c>
      <c r="W79" s="1" t="s">
        <v>72</v>
      </c>
      <c r="X79" s="1"/>
      <c r="Y79" s="1" t="s">
        <v>334</v>
      </c>
      <c r="Z79" s="1" t="s">
        <v>676</v>
      </c>
      <c r="AA79" s="1" t="s">
        <v>677</v>
      </c>
      <c r="AB79" s="1" t="s">
        <v>192</v>
      </c>
      <c r="AC79" s="1" t="s">
        <v>133</v>
      </c>
      <c r="AD79" s="1">
        <v>3</v>
      </c>
      <c r="AE79" s="1" t="s">
        <v>94</v>
      </c>
      <c r="AF79" s="1" t="e">
        <v>#VALUE!</v>
      </c>
      <c r="AG79" s="1" t="s">
        <v>78</v>
      </c>
      <c r="AH79" s="11" t="str">
        <f t="shared" si="15"/>
        <v>6206</v>
      </c>
      <c r="AI79" s="11">
        <f t="shared" si="16"/>
        <v>4</v>
      </c>
      <c r="AJ79" s="11" t="str">
        <f t="shared" si="17"/>
        <v>Good</v>
      </c>
      <c r="AK79" s="11" t="str">
        <f t="shared" si="18"/>
        <v>O0078 - Laptop - Jordan</v>
      </c>
      <c r="AL79" s="11" t="e">
        <f t="shared" si="19"/>
        <v>#VALUE!</v>
      </c>
      <c r="AM79" s="11" t="e">
        <f t="shared" si="20"/>
        <v>#VALUE!</v>
      </c>
      <c r="AN79" s="11" t="str">
        <f t="shared" si="21"/>
        <v>On Time</v>
      </c>
      <c r="AO79" s="11" t="str">
        <f t="shared" si="22"/>
        <v>Platinum</v>
      </c>
      <c r="AP79" s="12" t="str">
        <f t="shared" si="23"/>
        <v>Medium</v>
      </c>
      <c r="AV79" s="11" t="str">
        <f t="shared" si="24"/>
        <v>Not Numeric</v>
      </c>
      <c r="AW79" s="11" t="str">
        <f t="shared" si="25"/>
        <v>Text</v>
      </c>
      <c r="AX79" s="11" t="str">
        <f t="shared" si="26"/>
        <v>Not Blank</v>
      </c>
      <c r="AY79" s="11" t="str">
        <f t="shared" si="27"/>
        <v>Invalid Email</v>
      </c>
      <c r="AZ79" s="12" t="str">
        <f t="shared" si="28"/>
        <v>Returned Order</v>
      </c>
      <c r="BA79" s="11" t="str">
        <f t="shared" si="29"/>
        <v>Low Risk</v>
      </c>
      <c r="BB79" s="12" t="str">
        <f>_xlfn.LET(_xlpm.Category,_xlfn.XLOOKUP(I78,[1]Products_Lookup!A:A,[1]Products_Lookup!B:B,"Not Found"),IF(AND(_xlpm.Category="Electronics",U78&gt;4000),"High Tech Revenue",IF(AND(_xlpm.Category="Furniture",U78&gt;2000),"Premium Furniture","Standard Product")))</f>
        <v>Standard Product</v>
      </c>
    </row>
    <row r="80" spans="1:54" ht="17" x14ac:dyDescent="0.2">
      <c r="A80" s="1" t="s">
        <v>678</v>
      </c>
      <c r="B80" s="1" t="s">
        <v>679</v>
      </c>
      <c r="C80" s="1" t="s">
        <v>680</v>
      </c>
      <c r="D80" s="1" t="s">
        <v>681</v>
      </c>
      <c r="E80" s="1" t="s">
        <v>83</v>
      </c>
      <c r="F80" s="1" t="s">
        <v>38</v>
      </c>
      <c r="G80" s="1" t="s">
        <v>39</v>
      </c>
      <c r="H80" s="1" t="s">
        <v>40</v>
      </c>
      <c r="I80" s="1" t="s">
        <v>102</v>
      </c>
      <c r="J80" s="1" t="s">
        <v>103</v>
      </c>
      <c r="K80" s="1" t="s">
        <v>104</v>
      </c>
      <c r="L80" s="1" t="s">
        <v>105</v>
      </c>
      <c r="M80" s="1" t="s">
        <v>627</v>
      </c>
      <c r="N80" s="1" t="s">
        <v>224</v>
      </c>
      <c r="O80" s="1" t="s">
        <v>90</v>
      </c>
      <c r="P80" s="1" t="s">
        <v>154</v>
      </c>
      <c r="Q80" s="1">
        <v>3</v>
      </c>
      <c r="R80" s="1">
        <v>900</v>
      </c>
      <c r="S80" s="1">
        <v>0</v>
      </c>
      <c r="T80" s="1">
        <v>3.51</v>
      </c>
      <c r="U80" s="1">
        <v>2703.51</v>
      </c>
      <c r="V80" s="1">
        <v>2</v>
      </c>
      <c r="W80" s="1" t="s">
        <v>49</v>
      </c>
      <c r="X80" s="1"/>
      <c r="Y80" s="1" t="s">
        <v>254</v>
      </c>
      <c r="Z80" s="1" t="s">
        <v>682</v>
      </c>
      <c r="AA80" s="1" t="s">
        <v>683</v>
      </c>
      <c r="AB80" s="1" t="s">
        <v>54</v>
      </c>
      <c r="AC80" s="1" t="s">
        <v>133</v>
      </c>
      <c r="AD80" s="1">
        <v>4</v>
      </c>
      <c r="AE80" s="1" t="s">
        <v>94</v>
      </c>
      <c r="AF80" s="1" t="e">
        <v>#N/A</v>
      </c>
      <c r="AG80" s="1" t="s">
        <v>57</v>
      </c>
      <c r="AH80" s="11" t="str">
        <f t="shared" si="15"/>
        <v>3788</v>
      </c>
      <c r="AI80" s="11">
        <f t="shared" si="16"/>
        <v>15</v>
      </c>
      <c r="AJ80" s="11" t="str">
        <f t="shared" si="17"/>
        <v>Late delivery</v>
      </c>
      <c r="AK80" s="11" t="str">
        <f t="shared" si="18"/>
        <v>O0079 - Laptop - Egypt</v>
      </c>
      <c r="AL80" s="11" t="e">
        <f t="shared" si="19"/>
        <v>#VALUE!</v>
      </c>
      <c r="AM80" s="11" t="e">
        <f t="shared" si="20"/>
        <v>#VALUE!</v>
      </c>
      <c r="AN80" s="11" t="str">
        <f t="shared" si="21"/>
        <v>On Time</v>
      </c>
      <c r="AO80" s="11" t="str">
        <f t="shared" si="22"/>
        <v>Platinum</v>
      </c>
      <c r="AP80" s="12" t="str">
        <f t="shared" si="23"/>
        <v>Low</v>
      </c>
      <c r="AV80" s="11" t="str">
        <f t="shared" si="24"/>
        <v>Not Numeric</v>
      </c>
      <c r="AW80" s="11" t="str">
        <f t="shared" si="25"/>
        <v>Text</v>
      </c>
      <c r="AX80" s="11" t="str">
        <f t="shared" si="26"/>
        <v>Not Blank</v>
      </c>
      <c r="AY80" s="11" t="str">
        <f t="shared" si="27"/>
        <v>Invalid Email</v>
      </c>
      <c r="AZ80" s="12" t="str">
        <f t="shared" si="28"/>
        <v>On Time</v>
      </c>
      <c r="BA80" s="11" t="str">
        <f t="shared" si="29"/>
        <v>Unknown</v>
      </c>
      <c r="BB80" s="12" t="str">
        <f>_xlfn.LET(_xlpm.Category,_xlfn.XLOOKUP(I79,[1]Products_Lookup!A:A,[1]Products_Lookup!B:B,"Not Found"),IF(AND(_xlpm.Category="Electronics",U79&gt;4000),"High Tech Revenue",IF(AND(_xlpm.Category="Furniture",U79&gt;2000),"Premium Furniture","Standard Product")))</f>
        <v>Standard Product</v>
      </c>
    </row>
    <row r="81" spans="1:54" ht="17" x14ac:dyDescent="0.2">
      <c r="A81" s="1" t="s">
        <v>684</v>
      </c>
      <c r="B81" s="1" t="s">
        <v>685</v>
      </c>
      <c r="C81" s="1" t="s">
        <v>686</v>
      </c>
      <c r="D81" s="1" t="s">
        <v>687</v>
      </c>
      <c r="E81" s="1" t="s">
        <v>37</v>
      </c>
      <c r="F81" s="1" t="s">
        <v>38</v>
      </c>
      <c r="G81" s="1" t="s">
        <v>39</v>
      </c>
      <c r="H81" s="1" t="s">
        <v>40</v>
      </c>
      <c r="I81" s="1" t="s">
        <v>41</v>
      </c>
      <c r="J81" s="1" t="s">
        <v>42</v>
      </c>
      <c r="K81" s="1" t="s">
        <v>43</v>
      </c>
      <c r="L81" s="1" t="s">
        <v>44</v>
      </c>
      <c r="M81" s="1" t="s">
        <v>688</v>
      </c>
      <c r="N81" s="1" t="s">
        <v>276</v>
      </c>
      <c r="O81" s="1" t="s">
        <v>108</v>
      </c>
      <c r="P81" s="1" t="s">
        <v>109</v>
      </c>
      <c r="Q81" s="1" t="s">
        <v>37</v>
      </c>
      <c r="R81" s="1">
        <v>150</v>
      </c>
      <c r="S81" s="1">
        <v>15</v>
      </c>
      <c r="T81" s="1">
        <v>19.72</v>
      </c>
      <c r="U81" s="1">
        <v>657.22</v>
      </c>
      <c r="V81" s="1">
        <v>2</v>
      </c>
      <c r="W81" s="1" t="s">
        <v>72</v>
      </c>
      <c r="X81" s="1" t="s">
        <v>50</v>
      </c>
      <c r="Y81" s="1" t="s">
        <v>349</v>
      </c>
      <c r="Z81" s="1" t="s">
        <v>689</v>
      </c>
      <c r="AA81" s="1" t="s">
        <v>690</v>
      </c>
      <c r="AB81" s="1" t="s">
        <v>132</v>
      </c>
      <c r="AC81" s="1" t="s">
        <v>133</v>
      </c>
      <c r="AD81" s="1">
        <v>2</v>
      </c>
      <c r="AE81" s="1" t="s">
        <v>94</v>
      </c>
      <c r="AF81" s="1" t="e">
        <v>#VALUE!</v>
      </c>
      <c r="AG81" s="1" t="s">
        <v>57</v>
      </c>
      <c r="AH81" s="11" t="str">
        <f t="shared" si="15"/>
        <v>5654</v>
      </c>
      <c r="AI81" s="11">
        <f t="shared" si="16"/>
        <v>4</v>
      </c>
      <c r="AJ81" s="11" t="str">
        <f t="shared" si="17"/>
        <v>Good</v>
      </c>
      <c r="AK81" s="11" t="str">
        <f t="shared" si="18"/>
        <v>O0080 - Phone - Jordan</v>
      </c>
      <c r="AL81" s="11">
        <f t="shared" si="19"/>
        <v>7</v>
      </c>
      <c r="AM81" s="11">
        <f t="shared" si="20"/>
        <v>3</v>
      </c>
      <c r="AN81" s="11" t="str">
        <f t="shared" si="21"/>
        <v>On Time</v>
      </c>
      <c r="AO81" s="11" t="str">
        <f t="shared" si="22"/>
        <v>Silver</v>
      </c>
      <c r="AP81" s="12" t="str">
        <f t="shared" si="23"/>
        <v>High</v>
      </c>
      <c r="AV81" s="11" t="str">
        <f t="shared" si="24"/>
        <v>Valid Number</v>
      </c>
      <c r="AW81" s="11" t="str">
        <f t="shared" si="25"/>
        <v>Text</v>
      </c>
      <c r="AX81" s="11" t="str">
        <f t="shared" si="26"/>
        <v>Not Blank</v>
      </c>
      <c r="AY81" s="11" t="str">
        <f t="shared" si="27"/>
        <v>Valid</v>
      </c>
      <c r="AZ81" s="12" t="str">
        <f t="shared" si="28"/>
        <v>Returned Order</v>
      </c>
      <c r="BA81" s="11" t="str">
        <f t="shared" si="29"/>
        <v>Unknown</v>
      </c>
      <c r="BB81" s="12" t="str">
        <f>_xlfn.LET(_xlpm.Category,_xlfn.XLOOKUP(I80,[1]Products_Lookup!A:A,[1]Products_Lookup!B:B,"Not Found"),IF(AND(_xlpm.Category="Electronics",U80&gt;4000),"High Tech Revenue",IF(AND(_xlpm.Category="Furniture",U80&gt;2000),"Premium Furniture","Standard Product")))</f>
        <v>Standard Product</v>
      </c>
    </row>
    <row r="82" spans="1:54" ht="17" x14ac:dyDescent="0.2">
      <c r="A82" s="1" t="s">
        <v>691</v>
      </c>
      <c r="B82" s="1" t="s">
        <v>692</v>
      </c>
      <c r="C82" s="1" t="s">
        <v>693</v>
      </c>
      <c r="D82" s="1" t="s">
        <v>694</v>
      </c>
      <c r="E82" s="1" t="s">
        <v>83</v>
      </c>
      <c r="F82" s="1" t="s">
        <v>138</v>
      </c>
      <c r="G82" s="1" t="s">
        <v>139</v>
      </c>
      <c r="H82" s="1" t="s">
        <v>64</v>
      </c>
      <c r="I82" s="1" t="s">
        <v>84</v>
      </c>
      <c r="J82" s="1" t="s">
        <v>85</v>
      </c>
      <c r="K82" s="1" t="s">
        <v>86</v>
      </c>
      <c r="L82" s="1" t="s">
        <v>87</v>
      </c>
      <c r="M82" s="1" t="s">
        <v>535</v>
      </c>
      <c r="N82" s="1" t="s">
        <v>348</v>
      </c>
      <c r="O82" s="1" t="s">
        <v>90</v>
      </c>
      <c r="P82" s="1" t="s">
        <v>48</v>
      </c>
      <c r="Q82" s="1" t="s">
        <v>37</v>
      </c>
      <c r="R82" s="1">
        <v>340</v>
      </c>
      <c r="S82" s="1">
        <v>20</v>
      </c>
      <c r="T82" s="1">
        <v>6.06</v>
      </c>
      <c r="U82" s="1">
        <v>2726.06</v>
      </c>
      <c r="V82" s="1">
        <v>5</v>
      </c>
      <c r="W82" s="1" t="s">
        <v>94</v>
      </c>
      <c r="X82" s="1" t="s">
        <v>73</v>
      </c>
      <c r="Y82" s="1" t="s">
        <v>349</v>
      </c>
      <c r="Z82" s="1" t="s">
        <v>695</v>
      </c>
      <c r="AA82" s="1" t="s">
        <v>696</v>
      </c>
      <c r="AB82" s="1" t="s">
        <v>54</v>
      </c>
      <c r="AC82" s="1" t="s">
        <v>55</v>
      </c>
      <c r="AD82" s="1">
        <v>4</v>
      </c>
      <c r="AE82" s="1"/>
      <c r="AF82" s="1"/>
      <c r="AG82" s="1"/>
      <c r="AH82" s="11" t="str">
        <f t="shared" si="15"/>
        <v>9346</v>
      </c>
      <c r="AI82" s="11">
        <f t="shared" si="16"/>
        <v>17</v>
      </c>
      <c r="AJ82" s="11" t="str">
        <f t="shared" si="17"/>
        <v>Excellent service</v>
      </c>
      <c r="AK82" s="11" t="str">
        <f t="shared" si="18"/>
        <v>O0081 - Headphones - Jordan</v>
      </c>
      <c r="AL82" s="11">
        <f t="shared" si="19"/>
        <v>7</v>
      </c>
      <c r="AM82" s="11" t="e">
        <f t="shared" si="20"/>
        <v>#VALUE!</v>
      </c>
      <c r="AN82" s="11" t="str">
        <f t="shared" si="21"/>
        <v>On Time</v>
      </c>
      <c r="AO82" s="11" t="str">
        <f t="shared" si="22"/>
        <v>Bronze</v>
      </c>
      <c r="AP82" s="12" t="str">
        <f t="shared" si="23"/>
        <v>Low</v>
      </c>
      <c r="AV82" s="11" t="str">
        <f t="shared" si="24"/>
        <v>Not Numeric</v>
      </c>
      <c r="AW82" s="11" t="str">
        <f t="shared" si="25"/>
        <v>Text</v>
      </c>
      <c r="AX82" s="11" t="str">
        <f t="shared" si="26"/>
        <v>Not Blank</v>
      </c>
      <c r="AY82" s="11" t="str">
        <f t="shared" si="27"/>
        <v>Valid</v>
      </c>
      <c r="AZ82" s="12" t="str">
        <f t="shared" si="28"/>
        <v>On Time</v>
      </c>
      <c r="BA82" s="11" t="str">
        <f t="shared" si="29"/>
        <v>Unknown</v>
      </c>
      <c r="BB82" s="12" t="str">
        <f>_xlfn.LET(_xlpm.Category,_xlfn.XLOOKUP(I81,[1]Products_Lookup!A:A,[1]Products_Lookup!B:B,"Not Found"),IF(AND(_xlpm.Category="Electronics",U81&gt;4000),"High Tech Revenue",IF(AND(_xlpm.Category="Furniture",U81&gt;2000),"Premium Furniture","Standard Product")))</f>
        <v>Standard Product</v>
      </c>
    </row>
    <row r="83" spans="1:54" ht="17" x14ac:dyDescent="0.2">
      <c r="A83" s="1" t="s">
        <v>697</v>
      </c>
      <c r="B83" s="1" t="s">
        <v>698</v>
      </c>
      <c r="C83" s="1" t="s">
        <v>699</v>
      </c>
      <c r="D83" s="1" t="s">
        <v>700</v>
      </c>
      <c r="E83" s="1" t="s">
        <v>37</v>
      </c>
      <c r="F83" s="1" t="s">
        <v>99</v>
      </c>
      <c r="G83" s="1" t="s">
        <v>100</v>
      </c>
      <c r="H83" s="1" t="s">
        <v>101</v>
      </c>
      <c r="I83" s="1" t="s">
        <v>84</v>
      </c>
      <c r="J83" s="1" t="s">
        <v>85</v>
      </c>
      <c r="K83" s="1" t="s">
        <v>86</v>
      </c>
      <c r="L83" s="1" t="s">
        <v>87</v>
      </c>
      <c r="M83" s="1" t="s">
        <v>198</v>
      </c>
      <c r="N83" s="1" t="s">
        <v>199</v>
      </c>
      <c r="O83" s="1" t="s">
        <v>47</v>
      </c>
      <c r="P83" s="1" t="s">
        <v>48</v>
      </c>
      <c r="Q83" s="1" t="s">
        <v>37</v>
      </c>
      <c r="R83" s="1">
        <v>340</v>
      </c>
      <c r="S83" s="1">
        <v>10</v>
      </c>
      <c r="T83" s="1">
        <v>7.57</v>
      </c>
      <c r="U83" s="1">
        <v>2149.5700000000002</v>
      </c>
      <c r="V83" s="1">
        <v>5</v>
      </c>
      <c r="W83" s="1" t="s">
        <v>49</v>
      </c>
      <c r="X83" s="1" t="s">
        <v>50</v>
      </c>
      <c r="Y83" s="1" t="s">
        <v>181</v>
      </c>
      <c r="Z83" s="1" t="s">
        <v>701</v>
      </c>
      <c r="AA83" s="1" t="s">
        <v>702</v>
      </c>
      <c r="AB83" s="1" t="s">
        <v>132</v>
      </c>
      <c r="AC83" s="1" t="s">
        <v>55</v>
      </c>
      <c r="AD83" s="1">
        <v>4</v>
      </c>
      <c r="AE83" s="1" t="s">
        <v>94</v>
      </c>
      <c r="AF83" s="1"/>
      <c r="AG83" s="1"/>
      <c r="AH83" s="11" t="str">
        <f t="shared" si="15"/>
        <v>9237</v>
      </c>
      <c r="AI83" s="11">
        <f t="shared" si="16"/>
        <v>4</v>
      </c>
      <c r="AJ83" s="11" t="str">
        <f t="shared" si="17"/>
        <v>Good</v>
      </c>
      <c r="AK83" s="11" t="str">
        <f t="shared" si="18"/>
        <v>O0082 - Coffee Machine - UAE</v>
      </c>
      <c r="AL83" s="11">
        <f t="shared" si="19"/>
        <v>8</v>
      </c>
      <c r="AM83" s="11" t="e">
        <f t="shared" si="20"/>
        <v>#VALUE!</v>
      </c>
      <c r="AN83" s="11" t="str">
        <f t="shared" si="21"/>
        <v>Late</v>
      </c>
      <c r="AO83" s="11" t="str">
        <f t="shared" si="22"/>
        <v>Silver</v>
      </c>
      <c r="AP83" s="12" t="str">
        <f t="shared" si="23"/>
        <v>Low</v>
      </c>
      <c r="AV83" s="11" t="str">
        <f t="shared" si="24"/>
        <v>Not Numeric</v>
      </c>
      <c r="AW83" s="11" t="str">
        <f t="shared" si="25"/>
        <v>Text</v>
      </c>
      <c r="AX83" s="11" t="str">
        <f t="shared" si="26"/>
        <v>Not Blank</v>
      </c>
      <c r="AY83" s="11" t="str">
        <f t="shared" si="27"/>
        <v>Needs Cleaning</v>
      </c>
      <c r="AZ83" s="12" t="str">
        <f t="shared" si="28"/>
        <v>Late</v>
      </c>
      <c r="BA83" s="11" t="str">
        <f t="shared" si="29"/>
        <v>Low Risk</v>
      </c>
      <c r="BB83" s="12" t="str">
        <f>_xlfn.LET(_xlpm.Category,_xlfn.XLOOKUP(I82,[1]Products_Lookup!A:A,[1]Products_Lookup!B:B,"Not Found"),IF(AND(_xlpm.Category="Electronics",U82&gt;4000),"High Tech Revenue",IF(AND(_xlpm.Category="Furniture",U82&gt;2000),"Premium Furniture","Standard Product")))</f>
        <v>Standard Product</v>
      </c>
    </row>
    <row r="84" spans="1:54" ht="17" x14ac:dyDescent="0.2">
      <c r="A84" s="1" t="s">
        <v>703</v>
      </c>
      <c r="B84" s="1" t="s">
        <v>704</v>
      </c>
      <c r="C84" s="1" t="s">
        <v>705</v>
      </c>
      <c r="D84" s="1" t="s">
        <v>706</v>
      </c>
      <c r="E84" s="1" t="s">
        <v>707</v>
      </c>
      <c r="F84" s="1" t="s">
        <v>99</v>
      </c>
      <c r="G84" s="1" t="s">
        <v>100</v>
      </c>
      <c r="H84" s="1" t="s">
        <v>101</v>
      </c>
      <c r="I84" s="1" t="s">
        <v>84</v>
      </c>
      <c r="J84" s="1" t="s">
        <v>85</v>
      </c>
      <c r="K84" s="1" t="s">
        <v>86</v>
      </c>
      <c r="L84" s="1" t="s">
        <v>87</v>
      </c>
      <c r="M84" s="1" t="s">
        <v>396</v>
      </c>
      <c r="N84" s="1" t="s">
        <v>708</v>
      </c>
      <c r="O84" s="1" t="s">
        <v>90</v>
      </c>
      <c r="P84" s="1" t="s">
        <v>48</v>
      </c>
      <c r="Q84" s="1">
        <v>6</v>
      </c>
      <c r="R84" s="1">
        <v>340</v>
      </c>
      <c r="S84" s="1">
        <v>10</v>
      </c>
      <c r="T84" s="1">
        <v>15.52</v>
      </c>
      <c r="U84" s="1">
        <v>1851.52</v>
      </c>
      <c r="V84" s="1"/>
      <c r="W84" s="1" t="s">
        <v>72</v>
      </c>
      <c r="X84" s="1"/>
      <c r="Y84" s="1" t="s">
        <v>200</v>
      </c>
      <c r="Z84" s="1" t="s">
        <v>709</v>
      </c>
      <c r="AA84" s="1" t="s">
        <v>710</v>
      </c>
      <c r="AB84" s="1" t="s">
        <v>192</v>
      </c>
      <c r="AC84" s="1" t="s">
        <v>55</v>
      </c>
      <c r="AD84" s="1">
        <v>4</v>
      </c>
      <c r="AE84" s="1"/>
      <c r="AF84" s="1" t="e">
        <v>#VALUE!</v>
      </c>
      <c r="AG84" s="1"/>
      <c r="AH84" s="11" t="str">
        <f t="shared" si="15"/>
        <v>8552</v>
      </c>
      <c r="AI84" s="11">
        <f t="shared" si="16"/>
        <v>17</v>
      </c>
      <c r="AJ84" s="11" t="str">
        <f t="shared" si="17"/>
        <v>Excellent service</v>
      </c>
      <c r="AK84" s="11" t="str">
        <f t="shared" si="18"/>
        <v>O0083 - Coffee Machine - Egypt</v>
      </c>
      <c r="AL84" s="11">
        <f t="shared" si="19"/>
        <v>8</v>
      </c>
      <c r="AM84" s="11" t="e">
        <f t="shared" si="20"/>
        <v>#VALUE!</v>
      </c>
      <c r="AN84" s="11" t="str">
        <f t="shared" si="21"/>
        <v>On Time</v>
      </c>
      <c r="AO84" s="11" t="str">
        <f t="shared" si="22"/>
        <v>Silver</v>
      </c>
      <c r="AP84" s="12" t="str">
        <f t="shared" si="23"/>
        <v>Low</v>
      </c>
      <c r="AV84" s="11" t="str">
        <f t="shared" si="24"/>
        <v>Not Numeric</v>
      </c>
      <c r="AW84" s="11" t="str">
        <f t="shared" si="25"/>
        <v>Text</v>
      </c>
      <c r="AX84" s="11" t="str">
        <f t="shared" si="26"/>
        <v>Blank</v>
      </c>
      <c r="AY84" s="11" t="str">
        <f t="shared" si="27"/>
        <v>Needs Cleaning</v>
      </c>
      <c r="AZ84" s="12" t="str">
        <f t="shared" si="28"/>
        <v>Returned Order</v>
      </c>
      <c r="BA84" s="11" t="str">
        <f t="shared" si="29"/>
        <v>Low Risk</v>
      </c>
      <c r="BB84" s="12" t="str">
        <f>_xlfn.LET(_xlpm.Category,_xlfn.XLOOKUP(I83,[1]Products_Lookup!A:A,[1]Products_Lookup!B:B,"Not Found"),IF(AND(_xlpm.Category="Electronics",U83&gt;4000),"High Tech Revenue",IF(AND(_xlpm.Category="Furniture",U83&gt;2000),"Premium Furniture","Standard Product")))</f>
        <v>Standard Product</v>
      </c>
    </row>
    <row r="85" spans="1:54" ht="17" x14ac:dyDescent="0.2">
      <c r="A85" s="1" t="s">
        <v>711</v>
      </c>
      <c r="B85" s="1" t="s">
        <v>712</v>
      </c>
      <c r="C85" s="1" t="s">
        <v>713</v>
      </c>
      <c r="D85" s="1" t="s">
        <v>714</v>
      </c>
      <c r="E85" s="1" t="s">
        <v>715</v>
      </c>
      <c r="F85" s="1" t="s">
        <v>99</v>
      </c>
      <c r="G85" s="1" t="s">
        <v>100</v>
      </c>
      <c r="H85" s="1" t="s">
        <v>101</v>
      </c>
      <c r="I85" s="1" t="s">
        <v>84</v>
      </c>
      <c r="J85" s="1" t="s">
        <v>85</v>
      </c>
      <c r="K85" s="1" t="s">
        <v>86</v>
      </c>
      <c r="L85" s="1" t="s">
        <v>87</v>
      </c>
      <c r="M85" s="1" t="s">
        <v>396</v>
      </c>
      <c r="N85" s="1" t="s">
        <v>189</v>
      </c>
      <c r="O85" s="1" t="s">
        <v>90</v>
      </c>
      <c r="P85" s="1" t="s">
        <v>109</v>
      </c>
      <c r="Q85" s="1">
        <v>1</v>
      </c>
      <c r="R85" s="1">
        <v>340</v>
      </c>
      <c r="S85" s="1">
        <v>20</v>
      </c>
      <c r="T85" s="1">
        <v>11</v>
      </c>
      <c r="U85" s="1">
        <v>283</v>
      </c>
      <c r="V85" s="1">
        <v>5</v>
      </c>
      <c r="W85" s="1" t="s">
        <v>72</v>
      </c>
      <c r="X85" s="1" t="s">
        <v>73</v>
      </c>
      <c r="Y85" s="1" t="s">
        <v>226</v>
      </c>
      <c r="Z85" s="1" t="s">
        <v>716</v>
      </c>
      <c r="AA85" s="1" t="s">
        <v>717</v>
      </c>
      <c r="AB85" s="1" t="s">
        <v>192</v>
      </c>
      <c r="AC85" s="1" t="s">
        <v>55</v>
      </c>
      <c r="AD85" s="1">
        <v>3</v>
      </c>
      <c r="AE85" s="1" t="s">
        <v>56</v>
      </c>
      <c r="AF85" s="1" t="e">
        <v>#N/A</v>
      </c>
      <c r="AG85" s="1"/>
      <c r="AH85" s="11" t="str">
        <f t="shared" si="15"/>
        <v>6208</v>
      </c>
      <c r="AI85" s="11">
        <f t="shared" si="16"/>
        <v>15</v>
      </c>
      <c r="AJ85" s="11" t="str">
        <f t="shared" si="17"/>
        <v>Late delivery</v>
      </c>
      <c r="AK85" s="11" t="str">
        <f t="shared" si="18"/>
        <v>O0084 - Coffee Machine - Egypt</v>
      </c>
      <c r="AL85" s="11">
        <f t="shared" si="19"/>
        <v>8</v>
      </c>
      <c r="AM85" s="11">
        <f t="shared" si="20"/>
        <v>6</v>
      </c>
      <c r="AN85" s="11" t="str">
        <f t="shared" si="21"/>
        <v>Late</v>
      </c>
      <c r="AO85" s="11" t="str">
        <f t="shared" si="22"/>
        <v>Silver</v>
      </c>
      <c r="AP85" s="12" t="str">
        <f t="shared" si="23"/>
        <v>Medium</v>
      </c>
      <c r="AV85" s="11" t="str">
        <f t="shared" si="24"/>
        <v>Valid Number</v>
      </c>
      <c r="AW85" s="11" t="str">
        <f t="shared" si="25"/>
        <v>Text</v>
      </c>
      <c r="AX85" s="11" t="str">
        <f t="shared" si="26"/>
        <v>Not Blank</v>
      </c>
      <c r="AY85" s="11" t="str">
        <f t="shared" si="27"/>
        <v>Needs Cleaning</v>
      </c>
      <c r="AZ85" s="12" t="str">
        <f t="shared" si="28"/>
        <v>Late</v>
      </c>
      <c r="BA85" s="11" t="str">
        <f t="shared" si="29"/>
        <v>Unknown</v>
      </c>
      <c r="BB85" s="12" t="str">
        <f>_xlfn.LET(_xlpm.Category,_xlfn.XLOOKUP(I84,[1]Products_Lookup!A:A,[1]Products_Lookup!B:B,"Not Found"),IF(AND(_xlpm.Category="Electronics",U84&gt;4000),"High Tech Revenue",IF(AND(_xlpm.Category="Furniture",U84&gt;2000),"Premium Furniture","Standard Product")))</f>
        <v>Standard Product</v>
      </c>
    </row>
    <row r="86" spans="1:54" ht="17" x14ac:dyDescent="0.2">
      <c r="A86" s="1" t="s">
        <v>718</v>
      </c>
      <c r="B86" s="1" t="s">
        <v>719</v>
      </c>
      <c r="C86" s="1" t="s">
        <v>720</v>
      </c>
      <c r="D86" s="1" t="s">
        <v>721</v>
      </c>
      <c r="E86" s="1" t="s">
        <v>37</v>
      </c>
      <c r="F86" s="1" t="s">
        <v>38</v>
      </c>
      <c r="G86" s="1" t="s">
        <v>39</v>
      </c>
      <c r="H86" s="1" t="s">
        <v>40</v>
      </c>
      <c r="I86" s="1" t="s">
        <v>149</v>
      </c>
      <c r="J86" s="1" t="s">
        <v>150</v>
      </c>
      <c r="K86" s="1" t="s">
        <v>104</v>
      </c>
      <c r="L86" s="1" t="s">
        <v>151</v>
      </c>
      <c r="M86" s="1" t="s">
        <v>722</v>
      </c>
      <c r="N86" s="1" t="s">
        <v>723</v>
      </c>
      <c r="O86" s="1" t="s">
        <v>47</v>
      </c>
      <c r="P86" s="1" t="s">
        <v>48</v>
      </c>
      <c r="Q86" s="1">
        <v>7</v>
      </c>
      <c r="R86" s="1">
        <v>1200</v>
      </c>
      <c r="S86" s="1">
        <v>10</v>
      </c>
      <c r="T86" s="1">
        <v>5.36</v>
      </c>
      <c r="U86" s="1">
        <v>7565.36</v>
      </c>
      <c r="V86" s="1">
        <v>5</v>
      </c>
      <c r="W86" s="1" t="s">
        <v>49</v>
      </c>
      <c r="X86" s="1"/>
      <c r="Y86" s="1" t="s">
        <v>91</v>
      </c>
      <c r="Z86" s="1" t="s">
        <v>724</v>
      </c>
      <c r="AA86" s="1" t="s">
        <v>725</v>
      </c>
      <c r="AB86" s="1" t="s">
        <v>132</v>
      </c>
      <c r="AC86" s="1" t="s">
        <v>133</v>
      </c>
      <c r="AD86" s="1">
        <v>4</v>
      </c>
      <c r="AE86" s="1"/>
      <c r="AF86" s="1" t="s">
        <v>113</v>
      </c>
      <c r="AG86" s="1" t="s">
        <v>57</v>
      </c>
      <c r="AH86" s="11" t="str">
        <f t="shared" si="15"/>
        <v>4516</v>
      </c>
      <c r="AI86" s="11">
        <f t="shared" si="16"/>
        <v>15</v>
      </c>
      <c r="AJ86" s="11" t="str">
        <f t="shared" si="17"/>
        <v>Late delivery</v>
      </c>
      <c r="AK86" s="11" t="str">
        <f t="shared" si="18"/>
        <v>O0085 - Coffee Machine - Egypt</v>
      </c>
      <c r="AL86" s="11">
        <f t="shared" si="19"/>
        <v>8</v>
      </c>
      <c r="AM86" s="11">
        <f t="shared" si="20"/>
        <v>1</v>
      </c>
      <c r="AN86" s="11" t="str">
        <f t="shared" si="21"/>
        <v>On Time</v>
      </c>
      <c r="AO86" s="11" t="str">
        <f t="shared" si="22"/>
        <v>Bronze</v>
      </c>
      <c r="AP86" s="12" t="str">
        <f t="shared" si="23"/>
        <v>Low</v>
      </c>
      <c r="AV86" s="11" t="str">
        <f t="shared" si="24"/>
        <v>Valid Number</v>
      </c>
      <c r="AW86" s="11" t="str">
        <f t="shared" si="25"/>
        <v>Text</v>
      </c>
      <c r="AX86" s="11" t="str">
        <f t="shared" si="26"/>
        <v>Not Blank</v>
      </c>
      <c r="AY86" s="11" t="str">
        <f t="shared" si="27"/>
        <v>Needs Cleaning</v>
      </c>
      <c r="AZ86" s="12" t="str">
        <f t="shared" si="28"/>
        <v>On Time</v>
      </c>
      <c r="BA86" s="11" t="str">
        <f t="shared" si="29"/>
        <v>Low Risk</v>
      </c>
      <c r="BB86" s="12" t="str">
        <f>_xlfn.LET(_xlpm.Category,_xlfn.XLOOKUP(I85,[1]Products_Lookup!A:A,[1]Products_Lookup!B:B,"Not Found"),IF(AND(_xlpm.Category="Electronics",U85&gt;4000),"High Tech Revenue",IF(AND(_xlpm.Category="Furniture",U85&gt;2000),"Premium Furniture","Standard Product")))</f>
        <v>Standard Product</v>
      </c>
    </row>
    <row r="87" spans="1:54" ht="17" x14ac:dyDescent="0.2">
      <c r="A87" s="1" t="s">
        <v>726</v>
      </c>
      <c r="B87" s="1" t="s">
        <v>727</v>
      </c>
      <c r="C87" s="1" t="s">
        <v>728</v>
      </c>
      <c r="D87" s="1" t="s">
        <v>729</v>
      </c>
      <c r="E87" s="1" t="s">
        <v>37</v>
      </c>
      <c r="F87" s="1" t="s">
        <v>138</v>
      </c>
      <c r="G87" s="1" t="s">
        <v>139</v>
      </c>
      <c r="H87" s="1" t="s">
        <v>64</v>
      </c>
      <c r="I87" s="1" t="s">
        <v>149</v>
      </c>
      <c r="J87" s="1" t="s">
        <v>150</v>
      </c>
      <c r="K87" s="1" t="s">
        <v>104</v>
      </c>
      <c r="L87" s="1" t="s">
        <v>151</v>
      </c>
      <c r="M87" s="1" t="s">
        <v>730</v>
      </c>
      <c r="N87" s="1" t="s">
        <v>492</v>
      </c>
      <c r="O87" s="1" t="s">
        <v>90</v>
      </c>
      <c r="P87" s="1" t="s">
        <v>154</v>
      </c>
      <c r="Q87" s="1">
        <v>1</v>
      </c>
      <c r="R87" s="1">
        <v>1200</v>
      </c>
      <c r="S87" s="1">
        <v>5</v>
      </c>
      <c r="T87" s="1">
        <v>17.399999999999999</v>
      </c>
      <c r="U87" s="1">
        <v>1157.4000000000001</v>
      </c>
      <c r="V87" s="1"/>
      <c r="W87" s="1" t="s">
        <v>72</v>
      </c>
      <c r="X87" s="1" t="s">
        <v>50</v>
      </c>
      <c r="Y87" s="1" t="s">
        <v>597</v>
      </c>
      <c r="Z87" s="1" t="s">
        <v>731</v>
      </c>
      <c r="AA87" s="1" t="s">
        <v>732</v>
      </c>
      <c r="AB87" s="1" t="s">
        <v>132</v>
      </c>
      <c r="AC87" s="1" t="s">
        <v>133</v>
      </c>
      <c r="AD87" s="1">
        <v>3</v>
      </c>
      <c r="AE87" s="1" t="s">
        <v>94</v>
      </c>
      <c r="AF87" s="1" t="e">
        <v>#VALUE!</v>
      </c>
      <c r="AG87" s="1" t="s">
        <v>57</v>
      </c>
      <c r="AH87" s="11" t="str">
        <f t="shared" si="15"/>
        <v>2675</v>
      </c>
      <c r="AI87" s="11">
        <f t="shared" si="16"/>
        <v>17</v>
      </c>
      <c r="AJ87" s="11" t="str">
        <f t="shared" si="17"/>
        <v>Excellent service</v>
      </c>
      <c r="AK87" s="11" t="str">
        <f t="shared" si="18"/>
        <v>O0086 - Laptop - Jordan</v>
      </c>
      <c r="AL87" s="11">
        <f t="shared" si="19"/>
        <v>8</v>
      </c>
      <c r="AM87" s="11">
        <f t="shared" si="20"/>
        <v>7</v>
      </c>
      <c r="AN87" s="11" t="str">
        <f t="shared" si="21"/>
        <v>On Time</v>
      </c>
      <c r="AO87" s="11" t="str">
        <f t="shared" si="22"/>
        <v>Platinum</v>
      </c>
      <c r="AP87" s="12" t="str">
        <f t="shared" si="23"/>
        <v>Medium</v>
      </c>
      <c r="AV87" s="11" t="str">
        <f t="shared" si="24"/>
        <v>Valid Number</v>
      </c>
      <c r="AW87" s="11" t="str">
        <f t="shared" si="25"/>
        <v>Text</v>
      </c>
      <c r="AX87" s="11" t="str">
        <f t="shared" si="26"/>
        <v>Blank</v>
      </c>
      <c r="AY87" s="11" t="str">
        <f t="shared" si="27"/>
        <v>Needs Cleaning</v>
      </c>
      <c r="AZ87" s="12" t="str">
        <f t="shared" si="28"/>
        <v>Returned Order</v>
      </c>
      <c r="BA87" s="11" t="str">
        <f t="shared" si="29"/>
        <v>Low Risk</v>
      </c>
      <c r="BB87" s="12" t="str">
        <f>_xlfn.LET(_xlpm.Category,_xlfn.XLOOKUP(I86,[1]Products_Lookup!A:A,[1]Products_Lookup!B:B,"Not Found"),IF(AND(_xlpm.Category="Electronics",U86&gt;4000),"High Tech Revenue",IF(AND(_xlpm.Category="Furniture",U86&gt;2000),"Premium Furniture","Standard Product")))</f>
        <v>Standard Product</v>
      </c>
    </row>
    <row r="88" spans="1:54" ht="17" x14ac:dyDescent="0.2">
      <c r="A88" s="1" t="s">
        <v>733</v>
      </c>
      <c r="B88" s="1" t="s">
        <v>734</v>
      </c>
      <c r="C88" s="1" t="s">
        <v>735</v>
      </c>
      <c r="D88" s="1" t="s">
        <v>736</v>
      </c>
      <c r="E88" s="1" t="s">
        <v>83</v>
      </c>
      <c r="F88" s="1" t="s">
        <v>38</v>
      </c>
      <c r="G88" s="1" t="s">
        <v>39</v>
      </c>
      <c r="H88" s="1" t="s">
        <v>40</v>
      </c>
      <c r="I88" s="1" t="s">
        <v>41</v>
      </c>
      <c r="J88" s="1" t="s">
        <v>42</v>
      </c>
      <c r="K88" s="1" t="s">
        <v>43</v>
      </c>
      <c r="L88" s="1" t="s">
        <v>44</v>
      </c>
      <c r="M88" s="1" t="s">
        <v>737</v>
      </c>
      <c r="N88" s="1" t="s">
        <v>738</v>
      </c>
      <c r="O88" s="1" t="s">
        <v>71</v>
      </c>
      <c r="P88" s="1" t="s">
        <v>154</v>
      </c>
      <c r="Q88" s="1" t="s">
        <v>37</v>
      </c>
      <c r="R88" s="1">
        <v>150</v>
      </c>
      <c r="S88" s="1">
        <v>5</v>
      </c>
      <c r="T88" s="1">
        <v>19.739999999999998</v>
      </c>
      <c r="U88" s="1">
        <v>1444.74</v>
      </c>
      <c r="V88" s="1">
        <v>5</v>
      </c>
      <c r="W88" s="1" t="s">
        <v>94</v>
      </c>
      <c r="X88" s="1" t="s">
        <v>50</v>
      </c>
      <c r="Y88" s="1" t="s">
        <v>163</v>
      </c>
      <c r="Z88" s="1" t="s">
        <v>739</v>
      </c>
      <c r="AA88" s="1" t="s">
        <v>740</v>
      </c>
      <c r="AB88" s="1"/>
      <c r="AC88" s="1" t="s">
        <v>133</v>
      </c>
      <c r="AD88" s="1">
        <v>4</v>
      </c>
      <c r="AE88" s="1" t="s">
        <v>94</v>
      </c>
      <c r="AF88" s="1" t="s">
        <v>113</v>
      </c>
      <c r="AG88" s="1" t="s">
        <v>78</v>
      </c>
      <c r="AH88" s="11" t="str">
        <f t="shared" si="15"/>
        <v>0820</v>
      </c>
      <c r="AI88" s="11">
        <f t="shared" si="16"/>
        <v>17</v>
      </c>
      <c r="AJ88" s="11" t="str">
        <f t="shared" si="17"/>
        <v>Excellent service</v>
      </c>
      <c r="AK88" s="11" t="str">
        <f t="shared" si="18"/>
        <v>O0087 - Laptop - UAE</v>
      </c>
      <c r="AL88" s="11">
        <f t="shared" si="19"/>
        <v>8</v>
      </c>
      <c r="AM88" s="11">
        <f t="shared" si="20"/>
        <v>1</v>
      </c>
      <c r="AN88" s="11" t="str">
        <f t="shared" si="21"/>
        <v>Late</v>
      </c>
      <c r="AO88" s="11" t="str">
        <f t="shared" si="22"/>
        <v>Silver</v>
      </c>
      <c r="AP88" s="12" t="str">
        <f t="shared" si="23"/>
        <v>Low</v>
      </c>
      <c r="AV88" s="11" t="str">
        <f t="shared" si="24"/>
        <v>Valid Number</v>
      </c>
      <c r="AW88" s="11" t="str">
        <f t="shared" si="25"/>
        <v>Text</v>
      </c>
      <c r="AX88" s="11" t="str">
        <f t="shared" si="26"/>
        <v>Not Blank</v>
      </c>
      <c r="AY88" s="11" t="str">
        <f t="shared" si="27"/>
        <v>Needs Cleaning</v>
      </c>
      <c r="AZ88" s="12" t="str">
        <f t="shared" si="28"/>
        <v>Late</v>
      </c>
      <c r="BA88" s="11" t="str">
        <f t="shared" si="29"/>
        <v>Unknown</v>
      </c>
      <c r="BB88" s="12" t="str">
        <f>_xlfn.LET(_xlpm.Category,_xlfn.XLOOKUP(I87,[1]Products_Lookup!A:A,[1]Products_Lookup!B:B,"Not Found"),IF(AND(_xlpm.Category="Electronics",U87&gt;4000),"High Tech Revenue",IF(AND(_xlpm.Category="Furniture",U87&gt;2000),"Premium Furniture","Standard Product")))</f>
        <v>Standard Product</v>
      </c>
    </row>
    <row r="89" spans="1:54" ht="17" x14ac:dyDescent="0.2">
      <c r="A89" s="1" t="s">
        <v>741</v>
      </c>
      <c r="B89" s="1" t="s">
        <v>742</v>
      </c>
      <c r="C89" s="1" t="s">
        <v>743</v>
      </c>
      <c r="D89" s="1" t="s">
        <v>744</v>
      </c>
      <c r="E89" s="1" t="s">
        <v>83</v>
      </c>
      <c r="F89" s="1" t="s">
        <v>62</v>
      </c>
      <c r="G89" s="1" t="s">
        <v>63</v>
      </c>
      <c r="H89" s="1" t="s">
        <v>64</v>
      </c>
      <c r="I89" s="1" t="s">
        <v>84</v>
      </c>
      <c r="J89" s="1" t="s">
        <v>85</v>
      </c>
      <c r="K89" s="1" t="s">
        <v>86</v>
      </c>
      <c r="L89" s="1" t="s">
        <v>87</v>
      </c>
      <c r="M89" s="1" t="s">
        <v>317</v>
      </c>
      <c r="N89" s="1" t="s">
        <v>745</v>
      </c>
      <c r="O89" s="1" t="s">
        <v>47</v>
      </c>
      <c r="P89" s="1" t="s">
        <v>48</v>
      </c>
      <c r="Q89" s="1" t="s">
        <v>37</v>
      </c>
      <c r="R89" s="1">
        <v>340</v>
      </c>
      <c r="S89" s="1">
        <v>20</v>
      </c>
      <c r="T89" s="1">
        <v>15.26</v>
      </c>
      <c r="U89" s="1">
        <v>831.26</v>
      </c>
      <c r="V89" s="1">
        <v>2</v>
      </c>
      <c r="W89" s="1" t="s">
        <v>94</v>
      </c>
      <c r="X89" s="1" t="s">
        <v>73</v>
      </c>
      <c r="Y89" s="1" t="s">
        <v>200</v>
      </c>
      <c r="Z89" s="1" t="s">
        <v>746</v>
      </c>
      <c r="AA89" s="1" t="s">
        <v>747</v>
      </c>
      <c r="AB89" s="1"/>
      <c r="AC89" s="1" t="s">
        <v>133</v>
      </c>
      <c r="AD89" s="1">
        <v>1</v>
      </c>
      <c r="AE89" s="1" t="s">
        <v>56</v>
      </c>
      <c r="AF89" s="1" t="e">
        <v>#VALUE!</v>
      </c>
      <c r="AG89" s="1"/>
      <c r="AH89" s="11" t="str">
        <f t="shared" si="15"/>
        <v>8404</v>
      </c>
      <c r="AI89" s="11">
        <f t="shared" si="16"/>
        <v>0</v>
      </c>
      <c r="AJ89" s="11" t="str">
        <f t="shared" si="17"/>
        <v/>
      </c>
      <c r="AK89" s="11" t="str">
        <f t="shared" si="18"/>
        <v>O0088 - Headphones - Jordan</v>
      </c>
      <c r="AL89" s="11">
        <f t="shared" si="19"/>
        <v>8</v>
      </c>
      <c r="AM89" s="11" t="e">
        <f t="shared" si="20"/>
        <v>#VALUE!</v>
      </c>
      <c r="AN89" s="11" t="str">
        <f t="shared" si="21"/>
        <v>On Time</v>
      </c>
      <c r="AO89" s="11" t="str">
        <f t="shared" si="22"/>
        <v>Silver</v>
      </c>
      <c r="AP89" s="12" t="str">
        <f t="shared" si="23"/>
        <v>Critical</v>
      </c>
      <c r="AV89" s="11" t="str">
        <f t="shared" si="24"/>
        <v>Not Numeric</v>
      </c>
      <c r="AW89" s="11" t="str">
        <f t="shared" si="25"/>
        <v>Not Text</v>
      </c>
      <c r="AX89" s="11" t="str">
        <f t="shared" si="26"/>
        <v>Not Blank</v>
      </c>
      <c r="AY89" s="11" t="str">
        <f t="shared" si="27"/>
        <v>Needs Cleaning</v>
      </c>
      <c r="AZ89" s="12" t="str">
        <f t="shared" si="28"/>
        <v>On Time</v>
      </c>
      <c r="BA89" s="11" t="str">
        <f t="shared" si="29"/>
        <v>Low Risk</v>
      </c>
      <c r="BB89" s="12" t="str">
        <f>_xlfn.LET(_xlpm.Category,_xlfn.XLOOKUP(I88,[1]Products_Lookup!A:A,[1]Products_Lookup!B:B,"Not Found"),IF(AND(_xlpm.Category="Electronics",U88&gt;4000),"High Tech Revenue",IF(AND(_xlpm.Category="Furniture",U88&gt;2000),"Premium Furniture","Standard Product")))</f>
        <v>Standard Product</v>
      </c>
    </row>
    <row r="90" spans="1:54" ht="17" x14ac:dyDescent="0.2">
      <c r="A90" s="1" t="s">
        <v>748</v>
      </c>
      <c r="B90" s="1" t="s">
        <v>749</v>
      </c>
      <c r="C90" s="1" t="s">
        <v>750</v>
      </c>
      <c r="D90" s="1" t="s">
        <v>751</v>
      </c>
      <c r="E90" s="1" t="s">
        <v>752</v>
      </c>
      <c r="F90" s="1" t="s">
        <v>62</v>
      </c>
      <c r="G90" s="1" t="s">
        <v>63</v>
      </c>
      <c r="H90" s="1" t="s">
        <v>64</v>
      </c>
      <c r="I90" s="1" t="s">
        <v>84</v>
      </c>
      <c r="J90" s="1" t="s">
        <v>85</v>
      </c>
      <c r="K90" s="1" t="s">
        <v>86</v>
      </c>
      <c r="L90" s="1" t="s">
        <v>87</v>
      </c>
      <c r="M90" s="1" t="s">
        <v>411</v>
      </c>
      <c r="N90" s="1" t="s">
        <v>626</v>
      </c>
      <c r="O90" s="1" t="s">
        <v>90</v>
      </c>
      <c r="P90" s="1" t="s">
        <v>48</v>
      </c>
      <c r="Q90" s="1" t="s">
        <v>37</v>
      </c>
      <c r="R90" s="1">
        <v>340</v>
      </c>
      <c r="S90" s="1">
        <v>20</v>
      </c>
      <c r="T90" s="1">
        <v>15.87</v>
      </c>
      <c r="U90" s="1">
        <v>2191.87</v>
      </c>
      <c r="V90" s="1">
        <v>2</v>
      </c>
      <c r="W90" s="1" t="s">
        <v>49</v>
      </c>
      <c r="X90" s="1" t="s">
        <v>141</v>
      </c>
      <c r="Y90" s="1" t="s">
        <v>110</v>
      </c>
      <c r="Z90" s="1" t="s">
        <v>753</v>
      </c>
      <c r="AA90" s="1" t="s">
        <v>754</v>
      </c>
      <c r="AB90" s="1" t="s">
        <v>132</v>
      </c>
      <c r="AC90" s="1" t="s">
        <v>55</v>
      </c>
      <c r="AD90" s="1">
        <v>1</v>
      </c>
      <c r="AE90" s="1"/>
      <c r="AF90" s="1" t="e">
        <v>#N/A</v>
      </c>
      <c r="AG90" s="1" t="s">
        <v>57</v>
      </c>
      <c r="AH90" s="11" t="str">
        <f t="shared" si="15"/>
        <v>3445</v>
      </c>
      <c r="AI90" s="11">
        <f t="shared" si="16"/>
        <v>0</v>
      </c>
      <c r="AJ90" s="11" t="str">
        <f t="shared" si="17"/>
        <v/>
      </c>
      <c r="AK90" s="11" t="str">
        <f t="shared" si="18"/>
        <v>O0089 - Coffee Machine - Saudi Arabia</v>
      </c>
      <c r="AL90" s="11">
        <f t="shared" si="19"/>
        <v>7</v>
      </c>
      <c r="AM90" s="11" t="e">
        <f t="shared" si="20"/>
        <v>#VALUE!</v>
      </c>
      <c r="AN90" s="11" t="str">
        <f t="shared" si="21"/>
        <v>Late</v>
      </c>
      <c r="AO90" s="11" t="str">
        <f t="shared" si="22"/>
        <v>Bronze</v>
      </c>
      <c r="AP90" s="12" t="str">
        <f t="shared" si="23"/>
        <v>Critical</v>
      </c>
      <c r="AV90" s="11" t="str">
        <f t="shared" si="24"/>
        <v>Not Numeric</v>
      </c>
      <c r="AW90" s="11" t="str">
        <f t="shared" si="25"/>
        <v>Not Text</v>
      </c>
      <c r="AX90" s="11" t="str">
        <f t="shared" si="26"/>
        <v>Not Blank</v>
      </c>
      <c r="AY90" s="11" t="str">
        <f t="shared" si="27"/>
        <v>Valid</v>
      </c>
      <c r="AZ90" s="12" t="str">
        <f t="shared" si="28"/>
        <v>Late</v>
      </c>
      <c r="BA90" s="11" t="str">
        <f t="shared" si="29"/>
        <v>Unknown</v>
      </c>
      <c r="BB90" s="12" t="str">
        <f>_xlfn.LET(_xlpm.Category,_xlfn.XLOOKUP(I89,[1]Products_Lookup!A:A,[1]Products_Lookup!B:B,"Not Found"),IF(AND(_xlpm.Category="Electronics",U89&gt;4000),"High Tech Revenue",IF(AND(_xlpm.Category="Furniture",U89&gt;2000),"Premium Furniture","Standard Product")))</f>
        <v>Standard Product</v>
      </c>
    </row>
    <row r="91" spans="1:54" ht="17" x14ac:dyDescent="0.2">
      <c r="A91" s="1" t="s">
        <v>755</v>
      </c>
      <c r="B91" s="1" t="s">
        <v>756</v>
      </c>
      <c r="C91" s="1" t="s">
        <v>757</v>
      </c>
      <c r="D91" s="1" t="s">
        <v>758</v>
      </c>
      <c r="E91" s="1" t="s">
        <v>83</v>
      </c>
      <c r="F91" s="1" t="s">
        <v>38</v>
      </c>
      <c r="G91" s="1" t="s">
        <v>39</v>
      </c>
      <c r="H91" s="1" t="s">
        <v>40</v>
      </c>
      <c r="I91" s="1" t="s">
        <v>102</v>
      </c>
      <c r="J91" s="1" t="s">
        <v>103</v>
      </c>
      <c r="K91" s="1" t="s">
        <v>104</v>
      </c>
      <c r="L91" s="1" t="s">
        <v>105</v>
      </c>
      <c r="M91" s="1" t="s">
        <v>284</v>
      </c>
      <c r="N91" s="1" t="s">
        <v>759</v>
      </c>
      <c r="O91" s="1" t="s">
        <v>108</v>
      </c>
      <c r="P91" s="1" t="s">
        <v>109</v>
      </c>
      <c r="Q91" s="1">
        <v>10</v>
      </c>
      <c r="R91" s="1">
        <v>900</v>
      </c>
      <c r="S91" s="1">
        <v>0</v>
      </c>
      <c r="T91" s="1">
        <v>12.74</v>
      </c>
      <c r="U91" s="1">
        <v>9012.74</v>
      </c>
      <c r="V91" s="1">
        <v>3</v>
      </c>
      <c r="W91" s="1" t="s">
        <v>49</v>
      </c>
      <c r="X91" s="1" t="s">
        <v>73</v>
      </c>
      <c r="Y91" s="1" t="s">
        <v>326</v>
      </c>
      <c r="Z91" s="1" t="s">
        <v>760</v>
      </c>
      <c r="AA91" s="1" t="s">
        <v>761</v>
      </c>
      <c r="AB91" s="1" t="s">
        <v>132</v>
      </c>
      <c r="AC91" s="1" t="s">
        <v>133</v>
      </c>
      <c r="AD91" s="1">
        <v>1</v>
      </c>
      <c r="AE91" s="1" t="s">
        <v>56</v>
      </c>
      <c r="AF91" s="1" t="e">
        <v>#VALUE!</v>
      </c>
      <c r="AG91" s="1"/>
      <c r="AH91" s="11" t="str">
        <f t="shared" si="15"/>
        <v>5790</v>
      </c>
      <c r="AI91" s="11">
        <f t="shared" si="16"/>
        <v>17</v>
      </c>
      <c r="AJ91" s="11" t="str">
        <f t="shared" si="17"/>
        <v>Excellent service</v>
      </c>
      <c r="AK91" s="11" t="str">
        <f t="shared" si="18"/>
        <v>O0090 - Coffee Machine - Saudi Arabia</v>
      </c>
      <c r="AL91" s="11">
        <f t="shared" si="19"/>
        <v>7</v>
      </c>
      <c r="AM91" s="11" t="e">
        <f t="shared" si="20"/>
        <v>#VALUE!</v>
      </c>
      <c r="AN91" s="11" t="str">
        <f t="shared" si="21"/>
        <v>Late</v>
      </c>
      <c r="AO91" s="11" t="str">
        <f t="shared" si="22"/>
        <v>Silver</v>
      </c>
      <c r="AP91" s="12" t="str">
        <f t="shared" si="23"/>
        <v>Critical</v>
      </c>
      <c r="AV91" s="11" t="str">
        <f t="shared" si="24"/>
        <v>Not Numeric</v>
      </c>
      <c r="AW91" s="11" t="str">
        <f t="shared" si="25"/>
        <v>Text</v>
      </c>
      <c r="AX91" s="11" t="str">
        <f t="shared" si="26"/>
        <v>Not Blank</v>
      </c>
      <c r="AY91" s="11" t="str">
        <f t="shared" si="27"/>
        <v>Valid</v>
      </c>
      <c r="AZ91" s="12" t="str">
        <f t="shared" si="28"/>
        <v>Returned Order</v>
      </c>
      <c r="BA91" s="11" t="str">
        <f t="shared" si="29"/>
        <v>Unknown</v>
      </c>
      <c r="BB91" s="12" t="str">
        <f>_xlfn.LET(_xlpm.Category,_xlfn.XLOOKUP(I90,[1]Products_Lookup!A:A,[1]Products_Lookup!B:B,"Not Found"),IF(AND(_xlpm.Category="Electronics",U90&gt;4000),"High Tech Revenue",IF(AND(_xlpm.Category="Furniture",U90&gt;2000),"Premium Furniture","Standard Product")))</f>
        <v>Standard Product</v>
      </c>
    </row>
    <row r="92" spans="1:54" ht="17" x14ac:dyDescent="0.2">
      <c r="A92" s="1" t="s">
        <v>762</v>
      </c>
      <c r="B92" s="1" t="s">
        <v>763</v>
      </c>
      <c r="C92" s="1" t="s">
        <v>764</v>
      </c>
      <c r="D92" s="1" t="s">
        <v>765</v>
      </c>
      <c r="E92" s="1" t="s">
        <v>766</v>
      </c>
      <c r="F92" s="1" t="s">
        <v>62</v>
      </c>
      <c r="G92" s="1" t="s">
        <v>63</v>
      </c>
      <c r="H92" s="1" t="s">
        <v>64</v>
      </c>
      <c r="I92" s="1" t="s">
        <v>84</v>
      </c>
      <c r="J92" s="1" t="s">
        <v>85</v>
      </c>
      <c r="K92" s="1" t="s">
        <v>86</v>
      </c>
      <c r="L92" s="1" t="s">
        <v>87</v>
      </c>
      <c r="M92" s="1" t="s">
        <v>596</v>
      </c>
      <c r="N92" s="1" t="s">
        <v>767</v>
      </c>
      <c r="O92" s="1" t="s">
        <v>47</v>
      </c>
      <c r="P92" s="1" t="s">
        <v>109</v>
      </c>
      <c r="Q92" s="1" t="s">
        <v>37</v>
      </c>
      <c r="R92" s="1">
        <v>340</v>
      </c>
      <c r="S92" s="1">
        <v>15</v>
      </c>
      <c r="T92" s="1">
        <v>7.93</v>
      </c>
      <c r="U92" s="1">
        <v>2319.9299999999998</v>
      </c>
      <c r="V92" s="1">
        <v>5</v>
      </c>
      <c r="W92" s="1" t="s">
        <v>94</v>
      </c>
      <c r="X92" s="1" t="s">
        <v>141</v>
      </c>
      <c r="Y92" s="1" t="s">
        <v>236</v>
      </c>
      <c r="Z92" s="1" t="s">
        <v>768</v>
      </c>
      <c r="AA92" s="1" t="s">
        <v>769</v>
      </c>
      <c r="AB92" s="1" t="s">
        <v>54</v>
      </c>
      <c r="AC92" s="1" t="s">
        <v>55</v>
      </c>
      <c r="AD92" s="1">
        <v>3</v>
      </c>
      <c r="AE92" s="1" t="s">
        <v>56</v>
      </c>
      <c r="AF92" s="1"/>
      <c r="AG92" s="1"/>
      <c r="AH92" s="11" t="str">
        <f t="shared" si="15"/>
        <v>3968</v>
      </c>
      <c r="AI92" s="11">
        <f t="shared" si="16"/>
        <v>17</v>
      </c>
      <c r="AJ92" s="11" t="str">
        <f t="shared" si="17"/>
        <v>Excellent service</v>
      </c>
      <c r="AK92" s="11" t="str">
        <f t="shared" si="18"/>
        <v>O0091 - Phone - Jordan</v>
      </c>
      <c r="AL92" s="11">
        <f t="shared" si="19"/>
        <v>7</v>
      </c>
      <c r="AM92" s="11">
        <f t="shared" si="20"/>
        <v>10</v>
      </c>
      <c r="AN92" s="11" t="str">
        <f t="shared" si="21"/>
        <v>Late</v>
      </c>
      <c r="AO92" s="11" t="str">
        <f t="shared" si="22"/>
        <v>Platinum</v>
      </c>
      <c r="AP92" s="12" t="str">
        <f t="shared" si="23"/>
        <v>Medium</v>
      </c>
      <c r="AV92" s="11" t="str">
        <f t="shared" si="24"/>
        <v>Valid Number</v>
      </c>
      <c r="AW92" s="11" t="str">
        <f t="shared" si="25"/>
        <v>Text</v>
      </c>
      <c r="AX92" s="11" t="str">
        <f t="shared" si="26"/>
        <v>Not Blank</v>
      </c>
      <c r="AY92" s="11" t="str">
        <f t="shared" si="27"/>
        <v>Valid</v>
      </c>
      <c r="AZ92" s="12" t="str">
        <f t="shared" si="28"/>
        <v>Returned Order</v>
      </c>
      <c r="BA92" s="11" t="str">
        <f t="shared" si="29"/>
        <v>Medium Risk</v>
      </c>
      <c r="BB92" s="12" t="str">
        <f>_xlfn.LET(_xlpm.Category,_xlfn.XLOOKUP(I91,[1]Products_Lookup!A:A,[1]Products_Lookup!B:B,"Not Found"),IF(AND(_xlpm.Category="Electronics",U91&gt;4000),"High Tech Revenue",IF(AND(_xlpm.Category="Furniture",U91&gt;2000),"Premium Furniture","Standard Product")))</f>
        <v>Standard Product</v>
      </c>
    </row>
    <row r="93" spans="1:54" ht="17" x14ac:dyDescent="0.2">
      <c r="A93" s="1" t="s">
        <v>770</v>
      </c>
      <c r="B93" s="1" t="s">
        <v>771</v>
      </c>
      <c r="C93" s="1" t="s">
        <v>772</v>
      </c>
      <c r="D93" s="1" t="s">
        <v>773</v>
      </c>
      <c r="E93" s="1" t="s">
        <v>774</v>
      </c>
      <c r="F93" s="1" t="s">
        <v>138</v>
      </c>
      <c r="G93" s="1" t="s">
        <v>139</v>
      </c>
      <c r="H93" s="1" t="s">
        <v>64</v>
      </c>
      <c r="I93" s="1" t="s">
        <v>149</v>
      </c>
      <c r="J93" s="1" t="s">
        <v>150</v>
      </c>
      <c r="K93" s="1" t="s">
        <v>104</v>
      </c>
      <c r="L93" s="1" t="s">
        <v>151</v>
      </c>
      <c r="M93" s="1" t="s">
        <v>775</v>
      </c>
      <c r="N93" s="1" t="s">
        <v>170</v>
      </c>
      <c r="O93" s="1" t="s">
        <v>90</v>
      </c>
      <c r="P93" s="1" t="s">
        <v>109</v>
      </c>
      <c r="Q93" s="1">
        <v>5</v>
      </c>
      <c r="R93" s="1">
        <v>1200</v>
      </c>
      <c r="S93" s="1">
        <v>20</v>
      </c>
      <c r="T93" s="1">
        <v>15.63</v>
      </c>
      <c r="U93" s="1">
        <v>4815.63</v>
      </c>
      <c r="V93" s="1"/>
      <c r="W93" s="1" t="s">
        <v>49</v>
      </c>
      <c r="X93" s="1" t="s">
        <v>50</v>
      </c>
      <c r="Y93" s="1" t="s">
        <v>163</v>
      </c>
      <c r="Z93" s="1" t="s">
        <v>776</v>
      </c>
      <c r="AA93" s="1" t="s">
        <v>777</v>
      </c>
      <c r="AB93" s="1" t="s">
        <v>192</v>
      </c>
      <c r="AC93" s="1" t="s">
        <v>55</v>
      </c>
      <c r="AD93" s="1">
        <v>1</v>
      </c>
      <c r="AE93" s="1" t="s">
        <v>56</v>
      </c>
      <c r="AF93" s="1" t="e">
        <v>#N/A</v>
      </c>
      <c r="AG93" s="1" t="s">
        <v>78</v>
      </c>
      <c r="AH93" s="11" t="str">
        <f t="shared" si="15"/>
        <v>7442</v>
      </c>
      <c r="AI93" s="11">
        <f t="shared" si="16"/>
        <v>4</v>
      </c>
      <c r="AJ93" s="11" t="str">
        <f t="shared" si="17"/>
        <v>Good</v>
      </c>
      <c r="AK93" s="11" t="str">
        <f t="shared" si="18"/>
        <v>O0092 - Coffee Machine - Saudi Arabia</v>
      </c>
      <c r="AL93" s="11">
        <f t="shared" si="19"/>
        <v>7</v>
      </c>
      <c r="AM93" s="11" t="e">
        <f t="shared" si="20"/>
        <v>#VALUE!</v>
      </c>
      <c r="AN93" s="11" t="str">
        <f t="shared" si="21"/>
        <v>Late</v>
      </c>
      <c r="AO93" s="11" t="str">
        <f t="shared" si="22"/>
        <v>Silver</v>
      </c>
      <c r="AP93" s="12" t="str">
        <f t="shared" si="23"/>
        <v>Critical</v>
      </c>
      <c r="AV93" s="11" t="str">
        <f t="shared" si="24"/>
        <v>Not Numeric</v>
      </c>
      <c r="AW93" s="11" t="str">
        <f t="shared" si="25"/>
        <v>Text</v>
      </c>
      <c r="AX93" s="11" t="str">
        <f t="shared" si="26"/>
        <v>Blank</v>
      </c>
      <c r="AY93" s="11" t="str">
        <f t="shared" si="27"/>
        <v>Valid</v>
      </c>
      <c r="AZ93" s="12" t="str">
        <f t="shared" si="28"/>
        <v>Late</v>
      </c>
      <c r="BA93" s="11" t="str">
        <f t="shared" si="29"/>
        <v>Low Risk</v>
      </c>
      <c r="BB93" s="12" t="str">
        <f>_xlfn.LET(_xlpm.Category,_xlfn.XLOOKUP(I92,[1]Products_Lookup!A:A,[1]Products_Lookup!B:B,"Not Found"),IF(AND(_xlpm.Category="Electronics",U92&gt;4000),"High Tech Revenue",IF(AND(_xlpm.Category="Furniture",U92&gt;2000),"Premium Furniture","Standard Product")))</f>
        <v>Standard Product</v>
      </c>
    </row>
    <row r="94" spans="1:54" ht="17" x14ac:dyDescent="0.2">
      <c r="A94" s="1" t="s">
        <v>778</v>
      </c>
      <c r="B94" s="1" t="s">
        <v>779</v>
      </c>
      <c r="C94" s="1" t="s">
        <v>780</v>
      </c>
      <c r="D94" s="1" t="s">
        <v>781</v>
      </c>
      <c r="E94" s="1" t="s">
        <v>782</v>
      </c>
      <c r="F94" s="1" t="s">
        <v>138</v>
      </c>
      <c r="G94" s="1" t="s">
        <v>139</v>
      </c>
      <c r="H94" s="1" t="s">
        <v>64</v>
      </c>
      <c r="I94" s="1" t="s">
        <v>149</v>
      </c>
      <c r="J94" s="1" t="s">
        <v>150</v>
      </c>
      <c r="K94" s="1" t="s">
        <v>104</v>
      </c>
      <c r="L94" s="1" t="s">
        <v>151</v>
      </c>
      <c r="M94" s="1" t="s">
        <v>783</v>
      </c>
      <c r="N94" s="1" t="s">
        <v>639</v>
      </c>
      <c r="O94" s="1" t="s">
        <v>108</v>
      </c>
      <c r="P94" s="1" t="s">
        <v>109</v>
      </c>
      <c r="Q94" s="1">
        <v>8</v>
      </c>
      <c r="R94" s="1">
        <v>1200</v>
      </c>
      <c r="S94" s="1">
        <v>0</v>
      </c>
      <c r="T94" s="1">
        <v>19.190000000000001</v>
      </c>
      <c r="U94" s="1">
        <v>9619.19</v>
      </c>
      <c r="V94" s="1">
        <v>1</v>
      </c>
      <c r="W94" s="1" t="s">
        <v>94</v>
      </c>
      <c r="X94" s="1" t="s">
        <v>73</v>
      </c>
      <c r="Y94" s="1" t="s">
        <v>269</v>
      </c>
      <c r="Z94" s="1" t="s">
        <v>784</v>
      </c>
      <c r="AA94" s="1" t="s">
        <v>785</v>
      </c>
      <c r="AB94" s="1" t="s">
        <v>132</v>
      </c>
      <c r="AC94" s="1" t="s">
        <v>55</v>
      </c>
      <c r="AD94" s="1">
        <v>4</v>
      </c>
      <c r="AE94" s="1" t="s">
        <v>77</v>
      </c>
      <c r="AF94" s="1" t="s">
        <v>113</v>
      </c>
      <c r="AG94" s="1" t="s">
        <v>78</v>
      </c>
      <c r="AH94" s="11" t="str">
        <f t="shared" si="15"/>
        <v>2058</v>
      </c>
      <c r="AI94" s="11">
        <f t="shared" si="16"/>
        <v>15</v>
      </c>
      <c r="AJ94" s="11" t="str">
        <f t="shared" si="17"/>
        <v>Late delivery</v>
      </c>
      <c r="AK94" s="11" t="str">
        <f t="shared" si="18"/>
        <v>O0093 - Laptop - UAE</v>
      </c>
      <c r="AL94" s="11">
        <f t="shared" si="19"/>
        <v>8</v>
      </c>
      <c r="AM94" s="11">
        <f t="shared" si="20"/>
        <v>5</v>
      </c>
      <c r="AN94" s="11" t="str">
        <f t="shared" si="21"/>
        <v>On Time</v>
      </c>
      <c r="AO94" s="11" t="str">
        <f t="shared" si="22"/>
        <v>Gold</v>
      </c>
      <c r="AP94" s="12" t="str">
        <f t="shared" si="23"/>
        <v>Low</v>
      </c>
      <c r="AV94" s="11" t="str">
        <f t="shared" si="24"/>
        <v>Valid Number</v>
      </c>
      <c r="AW94" s="11" t="str">
        <f t="shared" si="25"/>
        <v>Text</v>
      </c>
      <c r="AX94" s="11" t="str">
        <f t="shared" si="26"/>
        <v>Not Blank</v>
      </c>
      <c r="AY94" s="11" t="str">
        <f t="shared" si="27"/>
        <v>Needs Cleaning</v>
      </c>
      <c r="AZ94" s="12" t="str">
        <f t="shared" si="28"/>
        <v>Returned Order</v>
      </c>
      <c r="BA94" s="11" t="str">
        <f t="shared" si="29"/>
        <v>Unknown</v>
      </c>
      <c r="BB94" s="12" t="str">
        <f>_xlfn.LET(_xlpm.Category,_xlfn.XLOOKUP(I93,[1]Products_Lookup!A:A,[1]Products_Lookup!B:B,"Not Found"),IF(AND(_xlpm.Category="Electronics",U93&gt;4000),"High Tech Revenue",IF(AND(_xlpm.Category="Furniture",U93&gt;2000),"Premium Furniture","Standard Product")))</f>
        <v>Standard Product</v>
      </c>
    </row>
    <row r="95" spans="1:54" ht="17" x14ac:dyDescent="0.2">
      <c r="A95" s="1" t="s">
        <v>786</v>
      </c>
      <c r="B95" s="1" t="s">
        <v>787</v>
      </c>
      <c r="C95" s="1" t="s">
        <v>788</v>
      </c>
      <c r="D95" s="1" t="s">
        <v>789</v>
      </c>
      <c r="E95" s="1" t="s">
        <v>37</v>
      </c>
      <c r="F95" s="1" t="s">
        <v>99</v>
      </c>
      <c r="G95" s="1" t="s">
        <v>100</v>
      </c>
      <c r="H95" s="1" t="s">
        <v>101</v>
      </c>
      <c r="I95" s="1" t="s">
        <v>102</v>
      </c>
      <c r="J95" s="1" t="s">
        <v>103</v>
      </c>
      <c r="K95" s="1" t="s">
        <v>104</v>
      </c>
      <c r="L95" s="1" t="s">
        <v>105</v>
      </c>
      <c r="M95" s="1" t="s">
        <v>225</v>
      </c>
      <c r="N95" s="1" t="s">
        <v>284</v>
      </c>
      <c r="O95" s="1" t="s">
        <v>90</v>
      </c>
      <c r="P95" s="1" t="s">
        <v>109</v>
      </c>
      <c r="Q95" s="1">
        <v>3</v>
      </c>
      <c r="R95" s="1">
        <v>900</v>
      </c>
      <c r="S95" s="1">
        <v>5</v>
      </c>
      <c r="T95" s="1">
        <v>17.989999999999998</v>
      </c>
      <c r="U95" s="1">
        <v>2582.9899999999998</v>
      </c>
      <c r="V95" s="1"/>
      <c r="W95" s="1" t="s">
        <v>72</v>
      </c>
      <c r="X95" s="1" t="s">
        <v>141</v>
      </c>
      <c r="Y95" s="1" t="s">
        <v>110</v>
      </c>
      <c r="Z95" s="1" t="s">
        <v>790</v>
      </c>
      <c r="AA95" s="1" t="s">
        <v>791</v>
      </c>
      <c r="AB95" s="1" t="s">
        <v>54</v>
      </c>
      <c r="AC95" s="1" t="s">
        <v>55</v>
      </c>
      <c r="AD95" s="1">
        <v>4</v>
      </c>
      <c r="AE95" s="1" t="s">
        <v>94</v>
      </c>
      <c r="AF95" s="1" t="e">
        <v>#VALUE!</v>
      </c>
      <c r="AG95" s="1" t="s">
        <v>78</v>
      </c>
      <c r="AH95" s="11" t="str">
        <f t="shared" si="15"/>
        <v>6827</v>
      </c>
      <c r="AI95" s="11">
        <f t="shared" si="16"/>
        <v>17</v>
      </c>
      <c r="AJ95" s="11" t="str">
        <f t="shared" si="17"/>
        <v>Excellent service</v>
      </c>
      <c r="AK95" s="11" t="str">
        <f t="shared" si="18"/>
        <v>O0094 - Laptop - UAE</v>
      </c>
      <c r="AL95" s="11">
        <f t="shared" si="19"/>
        <v>8</v>
      </c>
      <c r="AM95" s="11">
        <f t="shared" si="20"/>
        <v>8</v>
      </c>
      <c r="AN95" s="11" t="str">
        <f t="shared" si="21"/>
        <v>On Time</v>
      </c>
      <c r="AO95" s="11" t="str">
        <f t="shared" si="22"/>
        <v>Platinum</v>
      </c>
      <c r="AP95" s="12" t="str">
        <f t="shared" si="23"/>
        <v>Low</v>
      </c>
      <c r="AV95" s="11" t="str">
        <f t="shared" si="24"/>
        <v>Valid Number</v>
      </c>
      <c r="AW95" s="11" t="str">
        <f t="shared" si="25"/>
        <v>Text</v>
      </c>
      <c r="AX95" s="11" t="str">
        <f t="shared" si="26"/>
        <v>Blank</v>
      </c>
      <c r="AY95" s="11" t="str">
        <f t="shared" si="27"/>
        <v>Needs Cleaning</v>
      </c>
      <c r="AZ95" s="12" t="str">
        <f t="shared" si="28"/>
        <v>On Time</v>
      </c>
      <c r="BA95" s="11" t="str">
        <f t="shared" si="29"/>
        <v>Unknown</v>
      </c>
      <c r="BB95" s="12" t="str">
        <f>_xlfn.LET(_xlpm.Category,_xlfn.XLOOKUP(I94,[1]Products_Lookup!A:A,[1]Products_Lookup!B:B,"Not Found"),IF(AND(_xlpm.Category="Electronics",U94&gt;4000),"High Tech Revenue",IF(AND(_xlpm.Category="Furniture",U94&gt;2000),"Premium Furniture","Standard Product")))</f>
        <v>Standard Product</v>
      </c>
    </row>
    <row r="96" spans="1:54" ht="17" x14ac:dyDescent="0.2">
      <c r="A96" s="1" t="s">
        <v>792</v>
      </c>
      <c r="B96" s="1" t="s">
        <v>793</v>
      </c>
      <c r="C96" s="1" t="s">
        <v>794</v>
      </c>
      <c r="D96" s="1" t="s">
        <v>795</v>
      </c>
      <c r="E96" s="1" t="s">
        <v>37</v>
      </c>
      <c r="F96" s="1" t="s">
        <v>38</v>
      </c>
      <c r="G96" s="1" t="s">
        <v>39</v>
      </c>
      <c r="H96" s="1" t="s">
        <v>40</v>
      </c>
      <c r="I96" s="1" t="s">
        <v>65</v>
      </c>
      <c r="J96" s="1" t="s">
        <v>66</v>
      </c>
      <c r="K96" s="1" t="s">
        <v>67</v>
      </c>
      <c r="L96" s="1" t="s">
        <v>68</v>
      </c>
      <c r="M96" s="1" t="s">
        <v>469</v>
      </c>
      <c r="N96" s="1" t="s">
        <v>796</v>
      </c>
      <c r="O96" s="1" t="s">
        <v>47</v>
      </c>
      <c r="P96" s="1" t="s">
        <v>154</v>
      </c>
      <c r="Q96" s="1">
        <v>3</v>
      </c>
      <c r="R96" s="1">
        <v>220</v>
      </c>
      <c r="S96" s="1">
        <v>15</v>
      </c>
      <c r="T96" s="1">
        <v>12.83</v>
      </c>
      <c r="U96" s="1">
        <v>573.83000000000004</v>
      </c>
      <c r="V96" s="1">
        <v>1</v>
      </c>
      <c r="W96" s="1" t="s">
        <v>72</v>
      </c>
      <c r="X96" s="1" t="s">
        <v>50</v>
      </c>
      <c r="Y96" s="1" t="s">
        <v>110</v>
      </c>
      <c r="Z96" s="1" t="s">
        <v>797</v>
      </c>
      <c r="AA96" s="1" t="s">
        <v>798</v>
      </c>
      <c r="AB96" s="1"/>
      <c r="AC96" s="1" t="s">
        <v>55</v>
      </c>
      <c r="AD96" s="1">
        <v>1</v>
      </c>
      <c r="AE96" s="1" t="s">
        <v>94</v>
      </c>
      <c r="AF96" s="1"/>
      <c r="AG96" s="1" t="s">
        <v>78</v>
      </c>
      <c r="AH96" s="11" t="str">
        <f t="shared" si="15"/>
        <v>9516</v>
      </c>
      <c r="AI96" s="11">
        <f t="shared" si="16"/>
        <v>4</v>
      </c>
      <c r="AJ96" s="11" t="str">
        <f t="shared" si="17"/>
        <v>Good</v>
      </c>
      <c r="AK96" s="11" t="str">
        <f t="shared" si="18"/>
        <v>O0095 - Phone - Egypt</v>
      </c>
      <c r="AL96" s="11">
        <f t="shared" si="19"/>
        <v>8</v>
      </c>
      <c r="AM96" s="11">
        <f t="shared" si="20"/>
        <v>3</v>
      </c>
      <c r="AN96" s="11" t="str">
        <f t="shared" si="21"/>
        <v>Late</v>
      </c>
      <c r="AO96" s="11" t="str">
        <f t="shared" si="22"/>
        <v>Silver</v>
      </c>
      <c r="AP96" s="12" t="str">
        <f t="shared" si="23"/>
        <v>Critical</v>
      </c>
      <c r="AV96" s="11" t="str">
        <f t="shared" si="24"/>
        <v>Valid Number</v>
      </c>
      <c r="AW96" s="11" t="str">
        <f t="shared" si="25"/>
        <v>Text</v>
      </c>
      <c r="AX96" s="11" t="str">
        <f t="shared" si="26"/>
        <v>Not Blank</v>
      </c>
      <c r="AY96" s="11" t="str">
        <f t="shared" si="27"/>
        <v>Needs Cleaning</v>
      </c>
      <c r="AZ96" s="12" t="str">
        <f t="shared" si="28"/>
        <v>Late</v>
      </c>
      <c r="BA96" s="11" t="str">
        <f t="shared" si="29"/>
        <v>Unknown</v>
      </c>
      <c r="BB96" s="12" t="str">
        <f>_xlfn.LET(_xlpm.Category,_xlfn.XLOOKUP(I95,[1]Products_Lookup!A:A,[1]Products_Lookup!B:B,"Not Found"),IF(AND(_xlpm.Category="Electronics",U95&gt;4000),"High Tech Revenue",IF(AND(_xlpm.Category="Furniture",U95&gt;2000),"Premium Furniture","Standard Product")))</f>
        <v>Standard Product</v>
      </c>
    </row>
    <row r="97" spans="1:54" ht="17" x14ac:dyDescent="0.2">
      <c r="A97" s="1" t="s">
        <v>799</v>
      </c>
      <c r="B97" s="1" t="s">
        <v>800</v>
      </c>
      <c r="C97" s="1" t="s">
        <v>801</v>
      </c>
      <c r="D97" s="1" t="s">
        <v>802</v>
      </c>
      <c r="E97" s="1" t="s">
        <v>37</v>
      </c>
      <c r="F97" s="1" t="s">
        <v>62</v>
      </c>
      <c r="G97" s="1" t="s">
        <v>63</v>
      </c>
      <c r="H97" s="1" t="s">
        <v>64</v>
      </c>
      <c r="I97" s="1" t="s">
        <v>65</v>
      </c>
      <c r="J97" s="1" t="s">
        <v>66</v>
      </c>
      <c r="K97" s="1" t="s">
        <v>67</v>
      </c>
      <c r="L97" s="1" t="s">
        <v>68</v>
      </c>
      <c r="M97" s="1" t="s">
        <v>653</v>
      </c>
      <c r="N97" s="1" t="s">
        <v>198</v>
      </c>
      <c r="O97" s="1" t="s">
        <v>47</v>
      </c>
      <c r="P97" s="1" t="s">
        <v>109</v>
      </c>
      <c r="Q97" s="1">
        <v>10</v>
      </c>
      <c r="R97" s="1">
        <v>220</v>
      </c>
      <c r="S97" s="1">
        <v>0</v>
      </c>
      <c r="T97" s="1">
        <v>6.29</v>
      </c>
      <c r="U97" s="1">
        <v>2206.29</v>
      </c>
      <c r="V97" s="1">
        <v>3</v>
      </c>
      <c r="W97" s="1" t="s">
        <v>49</v>
      </c>
      <c r="X97" s="1"/>
      <c r="Y97" s="1" t="s">
        <v>181</v>
      </c>
      <c r="Z97" s="1" t="s">
        <v>803</v>
      </c>
      <c r="AA97" s="1" t="s">
        <v>804</v>
      </c>
      <c r="AB97" s="1"/>
      <c r="AC97" s="1" t="s">
        <v>55</v>
      </c>
      <c r="AD97" s="1">
        <v>4</v>
      </c>
      <c r="AE97" s="1"/>
      <c r="AF97" s="1" t="e">
        <v>#N/A</v>
      </c>
      <c r="AG97" s="1" t="s">
        <v>57</v>
      </c>
      <c r="AH97" s="11" t="str">
        <f t="shared" si="15"/>
        <v>8412</v>
      </c>
      <c r="AI97" s="11">
        <f t="shared" si="16"/>
        <v>0</v>
      </c>
      <c r="AJ97" s="11" t="str">
        <f t="shared" si="17"/>
        <v/>
      </c>
      <c r="AK97" s="11" t="str">
        <f t="shared" si="18"/>
        <v>O0096 - Desk Chair - Jordan</v>
      </c>
      <c r="AL97" s="11">
        <f t="shared" si="19"/>
        <v>7</v>
      </c>
      <c r="AM97" s="11">
        <f t="shared" si="20"/>
        <v>3</v>
      </c>
      <c r="AN97" s="11" t="str">
        <f t="shared" si="21"/>
        <v>On Time</v>
      </c>
      <c r="AO97" s="11" t="str">
        <f t="shared" si="22"/>
        <v>Bronze</v>
      </c>
      <c r="AP97" s="12" t="str">
        <f t="shared" si="23"/>
        <v>Low</v>
      </c>
      <c r="AV97" s="11" t="str">
        <f t="shared" si="24"/>
        <v>Valid Number</v>
      </c>
      <c r="AW97" s="11" t="str">
        <f t="shared" si="25"/>
        <v>Not Text</v>
      </c>
      <c r="AX97" s="11" t="str">
        <f t="shared" si="26"/>
        <v>Not Blank</v>
      </c>
      <c r="AY97" s="11" t="str">
        <f t="shared" si="27"/>
        <v>Valid</v>
      </c>
      <c r="AZ97" s="12" t="str">
        <f t="shared" si="28"/>
        <v>On Time</v>
      </c>
      <c r="BA97" s="11" t="str">
        <f t="shared" si="29"/>
        <v>Unknown</v>
      </c>
      <c r="BB97" s="12" t="str">
        <f>_xlfn.LET(_xlpm.Category,_xlfn.XLOOKUP(I96,[1]Products_Lookup!A:A,[1]Products_Lookup!B:B,"Not Found"),IF(AND(_xlpm.Category="Electronics",U96&gt;4000),"High Tech Revenue",IF(AND(_xlpm.Category="Furniture",U96&gt;2000),"Premium Furniture","Standard Product")))</f>
        <v>Standard Product</v>
      </c>
    </row>
    <row r="98" spans="1:54" ht="17" x14ac:dyDescent="0.2">
      <c r="A98" s="1" t="s">
        <v>805</v>
      </c>
      <c r="B98" s="1" t="s">
        <v>806</v>
      </c>
      <c r="C98" s="1" t="s">
        <v>807</v>
      </c>
      <c r="D98" s="1" t="s">
        <v>808</v>
      </c>
      <c r="E98" s="1" t="s">
        <v>809</v>
      </c>
      <c r="F98" s="1" t="s">
        <v>138</v>
      </c>
      <c r="G98" s="1" t="s">
        <v>139</v>
      </c>
      <c r="H98" s="1" t="s">
        <v>64</v>
      </c>
      <c r="I98" s="1" t="s">
        <v>41</v>
      </c>
      <c r="J98" s="1" t="s">
        <v>42</v>
      </c>
      <c r="K98" s="1" t="s">
        <v>43</v>
      </c>
      <c r="L98" s="1" t="s">
        <v>44</v>
      </c>
      <c r="M98" s="1" t="s">
        <v>88</v>
      </c>
      <c r="N98" s="1" t="s">
        <v>396</v>
      </c>
      <c r="O98" s="1" t="s">
        <v>71</v>
      </c>
      <c r="P98" s="1" t="s">
        <v>154</v>
      </c>
      <c r="Q98" s="1" t="s">
        <v>37</v>
      </c>
      <c r="R98" s="1">
        <v>150</v>
      </c>
      <c r="S98" s="1">
        <v>10</v>
      </c>
      <c r="T98" s="1">
        <v>4.38</v>
      </c>
      <c r="U98" s="1">
        <v>544.38</v>
      </c>
      <c r="V98" s="1">
        <v>2</v>
      </c>
      <c r="W98" s="1" t="s">
        <v>94</v>
      </c>
      <c r="X98" s="1" t="s">
        <v>73</v>
      </c>
      <c r="Y98" s="1" t="s">
        <v>181</v>
      </c>
      <c r="Z98" s="1" t="s">
        <v>810</v>
      </c>
      <c r="AA98" s="1" t="s">
        <v>811</v>
      </c>
      <c r="AB98" s="1" t="s">
        <v>54</v>
      </c>
      <c r="AC98" s="1" t="s">
        <v>133</v>
      </c>
      <c r="AD98" s="1">
        <v>1</v>
      </c>
      <c r="AE98" s="1" t="s">
        <v>77</v>
      </c>
      <c r="AF98" s="1" t="e">
        <v>#VALUE!</v>
      </c>
      <c r="AG98" s="1" t="s">
        <v>57</v>
      </c>
      <c r="AH98" s="11" t="str">
        <f t="shared" si="15"/>
        <v>4151</v>
      </c>
      <c r="AI98" s="11">
        <f t="shared" si="16"/>
        <v>0</v>
      </c>
      <c r="AJ98" s="11" t="str">
        <f t="shared" si="17"/>
        <v/>
      </c>
      <c r="AK98" s="11" t="str">
        <f t="shared" si="18"/>
        <v>O0097 - Desk Chair - Saudi Arabia</v>
      </c>
      <c r="AL98" s="11" t="e">
        <f t="shared" si="19"/>
        <v>#VALUE!</v>
      </c>
      <c r="AM98" s="11">
        <f t="shared" si="20"/>
        <v>10</v>
      </c>
      <c r="AN98" s="11" t="str">
        <f t="shared" si="21"/>
        <v>Late</v>
      </c>
      <c r="AO98" s="11" t="str">
        <f t="shared" si="22"/>
        <v>Silver</v>
      </c>
      <c r="AP98" s="12" t="str">
        <f t="shared" si="23"/>
        <v>Critical</v>
      </c>
      <c r="AV98" s="11" t="str">
        <f t="shared" si="24"/>
        <v>Valid Number</v>
      </c>
      <c r="AW98" s="11" t="str">
        <f t="shared" si="25"/>
        <v>Not Text</v>
      </c>
      <c r="AX98" s="11" t="str">
        <f t="shared" si="26"/>
        <v>Not Blank</v>
      </c>
      <c r="AY98" s="11" t="str">
        <f t="shared" si="27"/>
        <v>Invalid Email</v>
      </c>
      <c r="AZ98" s="12" t="str">
        <f t="shared" si="28"/>
        <v>Returned Order</v>
      </c>
      <c r="BA98" s="11" t="str">
        <f t="shared" si="29"/>
        <v>Medium Risk</v>
      </c>
      <c r="BB98" s="12" t="str">
        <f>_xlfn.LET(_xlpm.Category,_xlfn.XLOOKUP(I97,[1]Products_Lookup!A:A,[1]Products_Lookup!B:B,"Not Found"),IF(AND(_xlpm.Category="Electronics",U97&gt;4000),"High Tech Revenue",IF(AND(_xlpm.Category="Furniture",U97&gt;2000),"Premium Furniture","Standard Product")))</f>
        <v>Standard Product</v>
      </c>
    </row>
    <row r="99" spans="1:54" ht="17" x14ac:dyDescent="0.2">
      <c r="A99" s="1" t="s">
        <v>812</v>
      </c>
      <c r="B99" s="1" t="s">
        <v>813</v>
      </c>
      <c r="C99" s="1" t="s">
        <v>814</v>
      </c>
      <c r="D99" s="1" t="s">
        <v>815</v>
      </c>
      <c r="E99" s="1" t="s">
        <v>83</v>
      </c>
      <c r="F99" s="1" t="s">
        <v>99</v>
      </c>
      <c r="G99" s="1" t="s">
        <v>100</v>
      </c>
      <c r="H99" s="1" t="s">
        <v>101</v>
      </c>
      <c r="I99" s="1" t="s">
        <v>149</v>
      </c>
      <c r="J99" s="1" t="s">
        <v>150</v>
      </c>
      <c r="K99" s="1" t="s">
        <v>104</v>
      </c>
      <c r="L99" s="1" t="s">
        <v>151</v>
      </c>
      <c r="M99" s="1" t="s">
        <v>816</v>
      </c>
      <c r="N99" s="1" t="s">
        <v>396</v>
      </c>
      <c r="O99" s="1" t="s">
        <v>90</v>
      </c>
      <c r="P99" s="1" t="s">
        <v>109</v>
      </c>
      <c r="Q99" s="1" t="s">
        <v>37</v>
      </c>
      <c r="R99" s="1">
        <v>1200</v>
      </c>
      <c r="S99" s="1">
        <v>0</v>
      </c>
      <c r="T99" s="1">
        <v>13.24</v>
      </c>
      <c r="U99" s="1">
        <v>12013.24</v>
      </c>
      <c r="V99" s="1">
        <v>1</v>
      </c>
      <c r="W99" s="1" t="s">
        <v>72</v>
      </c>
      <c r="X99" s="1" t="s">
        <v>141</v>
      </c>
      <c r="Y99" s="1" t="s">
        <v>236</v>
      </c>
      <c r="Z99" s="1" t="s">
        <v>817</v>
      </c>
      <c r="AA99" s="1" t="s">
        <v>818</v>
      </c>
      <c r="AB99" s="1" t="s">
        <v>54</v>
      </c>
      <c r="AC99" s="1" t="s">
        <v>133</v>
      </c>
      <c r="AD99" s="1">
        <v>3</v>
      </c>
      <c r="AE99" s="1" t="s">
        <v>77</v>
      </c>
      <c r="AF99" s="1"/>
      <c r="AG99" s="1" t="s">
        <v>57</v>
      </c>
      <c r="AH99" s="11" t="str">
        <f t="shared" si="15"/>
        <v>0203</v>
      </c>
      <c r="AI99" s="11">
        <f t="shared" si="16"/>
        <v>4</v>
      </c>
      <c r="AJ99" s="11" t="str">
        <f t="shared" si="17"/>
        <v>Good</v>
      </c>
      <c r="AK99" s="11" t="str">
        <f t="shared" si="18"/>
        <v>O0098 - Headphones - UAE</v>
      </c>
      <c r="AL99" s="11">
        <f t="shared" si="19"/>
        <v>7</v>
      </c>
      <c r="AM99" s="11" t="e">
        <f t="shared" si="20"/>
        <v>#VALUE!</v>
      </c>
      <c r="AN99" s="11" t="str">
        <f t="shared" si="21"/>
        <v>Late</v>
      </c>
      <c r="AO99" s="11" t="str">
        <f t="shared" si="22"/>
        <v>Bronze</v>
      </c>
      <c r="AP99" s="12" t="str">
        <f t="shared" si="23"/>
        <v>Medium</v>
      </c>
      <c r="AV99" s="11" t="str">
        <f t="shared" si="24"/>
        <v>Not Numeric</v>
      </c>
      <c r="AW99" s="11" t="str">
        <f t="shared" si="25"/>
        <v>Text</v>
      </c>
      <c r="AX99" s="11" t="str">
        <f t="shared" si="26"/>
        <v>Not Blank</v>
      </c>
      <c r="AY99" s="11" t="str">
        <f t="shared" si="27"/>
        <v>Valid</v>
      </c>
      <c r="AZ99" s="12" t="str">
        <f t="shared" si="28"/>
        <v>Late</v>
      </c>
      <c r="BA99" s="11" t="str">
        <f t="shared" si="29"/>
        <v>Unknown</v>
      </c>
      <c r="BB99" s="12" t="str">
        <f>_xlfn.LET(_xlpm.Category,_xlfn.XLOOKUP(I98,[1]Products_Lookup!A:A,[1]Products_Lookup!B:B,"Not Found"),IF(AND(_xlpm.Category="Electronics",U98&gt;4000),"High Tech Revenue",IF(AND(_xlpm.Category="Furniture",U98&gt;2000),"Premium Furniture","Standard Product")))</f>
        <v>Standard Product</v>
      </c>
    </row>
    <row r="100" spans="1:54" ht="17" x14ac:dyDescent="0.2">
      <c r="A100" s="1" t="s">
        <v>819</v>
      </c>
      <c r="B100" s="1" t="s">
        <v>820</v>
      </c>
      <c r="C100" s="1" t="s">
        <v>821</v>
      </c>
      <c r="D100" s="1" t="s">
        <v>822</v>
      </c>
      <c r="E100" s="1" t="s">
        <v>37</v>
      </c>
      <c r="F100" s="1" t="s">
        <v>62</v>
      </c>
      <c r="G100" s="1" t="s">
        <v>63</v>
      </c>
      <c r="H100" s="1" t="s">
        <v>64</v>
      </c>
      <c r="I100" s="1" t="s">
        <v>149</v>
      </c>
      <c r="J100" s="1" t="s">
        <v>150</v>
      </c>
      <c r="K100" s="1" t="s">
        <v>104</v>
      </c>
      <c r="L100" s="1" t="s">
        <v>151</v>
      </c>
      <c r="M100" s="1" t="s">
        <v>823</v>
      </c>
      <c r="N100" s="1" t="s">
        <v>89</v>
      </c>
      <c r="O100" s="1" t="s">
        <v>108</v>
      </c>
      <c r="P100" s="1" t="s">
        <v>154</v>
      </c>
      <c r="Q100" s="1">
        <v>6</v>
      </c>
      <c r="R100" s="1">
        <v>1200</v>
      </c>
      <c r="S100" s="1">
        <v>5</v>
      </c>
      <c r="T100" s="1">
        <v>4.4000000000000004</v>
      </c>
      <c r="U100" s="1">
        <v>6844.4</v>
      </c>
      <c r="V100" s="1">
        <v>2</v>
      </c>
      <c r="W100" s="1" t="s">
        <v>49</v>
      </c>
      <c r="X100" s="1" t="s">
        <v>50</v>
      </c>
      <c r="Y100" s="1" t="s">
        <v>569</v>
      </c>
      <c r="Z100" s="1" t="s">
        <v>824</v>
      </c>
      <c r="AA100" s="1" t="s">
        <v>825</v>
      </c>
      <c r="AB100" s="1" t="s">
        <v>192</v>
      </c>
      <c r="AC100" s="1" t="s">
        <v>133</v>
      </c>
      <c r="AD100" s="1">
        <v>3</v>
      </c>
      <c r="AE100" s="1" t="s">
        <v>94</v>
      </c>
      <c r="AF100" s="1"/>
      <c r="AG100" s="1" t="s">
        <v>78</v>
      </c>
      <c r="AH100" s="11" t="str">
        <f t="shared" si="15"/>
        <v>7006</v>
      </c>
      <c r="AI100" s="11">
        <f t="shared" si="16"/>
        <v>4</v>
      </c>
      <c r="AJ100" s="11" t="str">
        <f t="shared" si="17"/>
        <v>Good</v>
      </c>
      <c r="AK100" s="11" t="str">
        <f t="shared" si="18"/>
        <v>O0099 - Laptop - Egypt</v>
      </c>
      <c r="AL100" s="11" t="e">
        <f t="shared" si="19"/>
        <v>#VALUE!</v>
      </c>
      <c r="AM100" s="11" t="e">
        <f t="shared" si="20"/>
        <v>#VALUE!</v>
      </c>
      <c r="AN100" s="11" t="str">
        <f t="shared" si="21"/>
        <v>Late</v>
      </c>
      <c r="AO100" s="11" t="str">
        <f t="shared" si="22"/>
        <v>Platinum</v>
      </c>
      <c r="AP100" s="12" t="str">
        <f t="shared" si="23"/>
        <v>Medium</v>
      </c>
      <c r="AV100" s="11" t="str">
        <f t="shared" si="24"/>
        <v>Not Numeric</v>
      </c>
      <c r="AW100" s="11" t="str">
        <f t="shared" si="25"/>
        <v>Text</v>
      </c>
      <c r="AX100" s="11" t="str">
        <f t="shared" si="26"/>
        <v>Not Blank</v>
      </c>
      <c r="AY100" s="11" t="str">
        <f t="shared" si="27"/>
        <v>Invalid Email</v>
      </c>
      <c r="AZ100" s="12" t="str">
        <f t="shared" si="28"/>
        <v>Late</v>
      </c>
      <c r="BA100" s="11" t="str">
        <f t="shared" si="29"/>
        <v>Unknown</v>
      </c>
      <c r="BB100" s="12" t="str">
        <f>_xlfn.LET(_xlpm.Category,_xlfn.XLOOKUP(I99,[1]Products_Lookup!A:A,[1]Products_Lookup!B:B,"Not Found"),IF(AND(_xlpm.Category="Electronics",U99&gt;4000),"High Tech Revenue",IF(AND(_xlpm.Category="Furniture",U99&gt;2000),"Premium Furniture","Standard Product")))</f>
        <v>Standard Product</v>
      </c>
    </row>
    <row r="101" spans="1:54" ht="17" x14ac:dyDescent="0.2">
      <c r="A101" s="1" t="s">
        <v>826</v>
      </c>
      <c r="B101" s="1" t="s">
        <v>827</v>
      </c>
      <c r="C101" s="1" t="s">
        <v>828</v>
      </c>
      <c r="D101" s="1" t="s">
        <v>829</v>
      </c>
      <c r="E101" s="1" t="s">
        <v>37</v>
      </c>
      <c r="F101" s="1" t="s">
        <v>99</v>
      </c>
      <c r="G101" s="1" t="s">
        <v>100</v>
      </c>
      <c r="H101" s="1" t="s">
        <v>101</v>
      </c>
      <c r="I101" s="1" t="s">
        <v>65</v>
      </c>
      <c r="J101" s="1" t="s">
        <v>66</v>
      </c>
      <c r="K101" s="1" t="s">
        <v>67</v>
      </c>
      <c r="L101" s="1" t="s">
        <v>68</v>
      </c>
      <c r="M101" s="1" t="s">
        <v>639</v>
      </c>
      <c r="N101" s="1" t="s">
        <v>420</v>
      </c>
      <c r="O101" s="1" t="s">
        <v>71</v>
      </c>
      <c r="P101" s="1" t="s">
        <v>154</v>
      </c>
      <c r="Q101" s="1">
        <v>9</v>
      </c>
      <c r="R101" s="1">
        <v>220</v>
      </c>
      <c r="S101" s="1">
        <v>20</v>
      </c>
      <c r="T101" s="1">
        <v>3.75</v>
      </c>
      <c r="U101" s="1">
        <v>1587.75</v>
      </c>
      <c r="V101" s="1">
        <v>1</v>
      </c>
      <c r="W101" s="1" t="s">
        <v>94</v>
      </c>
      <c r="X101" s="1"/>
      <c r="Y101" s="1" t="s">
        <v>51</v>
      </c>
      <c r="Z101" s="1" t="s">
        <v>830</v>
      </c>
      <c r="AA101" s="1" t="s">
        <v>831</v>
      </c>
      <c r="AB101" s="1" t="s">
        <v>192</v>
      </c>
      <c r="AC101" s="1" t="s">
        <v>55</v>
      </c>
      <c r="AD101" s="1">
        <v>4</v>
      </c>
      <c r="AE101" s="1"/>
      <c r="AF101" s="1" t="s">
        <v>113</v>
      </c>
      <c r="AG101" s="1" t="s">
        <v>57</v>
      </c>
      <c r="AH101" s="11" t="str">
        <f t="shared" si="15"/>
        <v>4791</v>
      </c>
      <c r="AI101" s="11">
        <f t="shared" si="16"/>
        <v>15</v>
      </c>
      <c r="AJ101" s="11" t="str">
        <f t="shared" si="17"/>
        <v>Late delivery</v>
      </c>
      <c r="AK101" s="11" t="str">
        <f t="shared" si="18"/>
        <v>O0100 - Laptop - Saudi Arabia</v>
      </c>
      <c r="AL101" s="11">
        <f t="shared" si="19"/>
        <v>8</v>
      </c>
      <c r="AM101" s="11">
        <f t="shared" si="20"/>
        <v>6</v>
      </c>
      <c r="AN101" s="11" t="str">
        <f t="shared" si="21"/>
        <v>Late</v>
      </c>
      <c r="AO101" s="11" t="str">
        <f t="shared" si="22"/>
        <v>Platinum</v>
      </c>
      <c r="AP101" s="12" t="str">
        <f t="shared" si="23"/>
        <v>Low</v>
      </c>
      <c r="AV101" s="11" t="str">
        <f t="shared" si="24"/>
        <v>Valid Number</v>
      </c>
      <c r="AW101" s="11" t="str">
        <f t="shared" si="25"/>
        <v>Text</v>
      </c>
      <c r="AX101" s="11" t="str">
        <f t="shared" si="26"/>
        <v>Not Blank</v>
      </c>
      <c r="AY101" s="11" t="str">
        <f t="shared" si="27"/>
        <v>Valid</v>
      </c>
      <c r="AZ101" s="12" t="str">
        <f t="shared" si="28"/>
        <v>Returned Order</v>
      </c>
      <c r="BA101" s="11" t="str">
        <f t="shared" si="29"/>
        <v>Unknown</v>
      </c>
      <c r="BB101" s="12" t="str">
        <f>_xlfn.LET(_xlpm.Category,_xlfn.XLOOKUP(I100,[1]Products_Lookup!A:A,[1]Products_Lookup!B:B,"Not Found"),IF(AND(_xlpm.Category="Electronics",U100&gt;4000),"High Tech Revenue",IF(AND(_xlpm.Category="Furniture",U100&gt;2000),"Premium Furniture","Standard Product")))</f>
        <v>Standard Product</v>
      </c>
    </row>
    <row r="102" spans="1:54" x14ac:dyDescent="0.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C8C973-B435-4F7B-AD0A-92D72DF086F1}">
  <sheetPr filterMode="1"/>
  <dimension ref="A1:I101"/>
  <sheetViews>
    <sheetView zoomScale="75" zoomScaleNormal="159" workbookViewId="0">
      <selection activeCell="A15" sqref="A15"/>
    </sheetView>
  </sheetViews>
  <sheetFormatPr baseColWidth="10" defaultColWidth="8.83203125" defaultRowHeight="15" x14ac:dyDescent="0.2"/>
  <cols>
    <col min="1" max="1" width="63.33203125" customWidth="1"/>
    <col min="2" max="2" width="9.83203125" style="1" bestFit="1" customWidth="1"/>
    <col min="3" max="3" width="14.6640625" style="11" bestFit="1" customWidth="1"/>
    <col min="7" max="7" width="38.5" customWidth="1"/>
    <col min="9" max="9" width="15.1640625" bestFit="1" customWidth="1"/>
  </cols>
  <sheetData>
    <row r="1" spans="1:9" ht="147.75" customHeight="1" thickTop="1" thickBot="1" x14ac:dyDescent="0.25">
      <c r="A1" s="2" t="s">
        <v>881</v>
      </c>
      <c r="B1" s="13" t="s">
        <v>20</v>
      </c>
      <c r="C1" s="13" t="s">
        <v>21</v>
      </c>
      <c r="D1" s="1"/>
      <c r="E1" s="1"/>
      <c r="F1" s="1"/>
      <c r="G1" s="4" t="s">
        <v>884</v>
      </c>
    </row>
    <row r="2" spans="1:9" ht="16" thickTop="1" x14ac:dyDescent="0.2">
      <c r="B2" s="1">
        <v>768.72</v>
      </c>
      <c r="C2" s="11">
        <v>1</v>
      </c>
      <c r="D2" t="b">
        <f>ISNUMBER(B2)</f>
        <v>1</v>
      </c>
      <c r="E2" t="b">
        <f>ISNUMBER(C2)</f>
        <v>1</v>
      </c>
      <c r="G2" s="5"/>
      <c r="H2" s="6" t="s">
        <v>20</v>
      </c>
      <c r="I2" s="6" t="s">
        <v>21</v>
      </c>
    </row>
    <row r="3" spans="1:9" x14ac:dyDescent="0.2">
      <c r="B3" s="1">
        <v>993.49</v>
      </c>
      <c r="C3" s="11">
        <v>4</v>
      </c>
      <c r="G3" s="7" t="s">
        <v>20</v>
      </c>
      <c r="H3" s="7">
        <v>1</v>
      </c>
      <c r="I3" s="7"/>
    </row>
    <row r="4" spans="1:9" ht="16" thickBot="1" x14ac:dyDescent="0.25">
      <c r="B4" s="1">
        <v>1740.03</v>
      </c>
      <c r="C4" s="11">
        <v>2</v>
      </c>
      <c r="G4" s="8" t="s">
        <v>21</v>
      </c>
      <c r="H4" s="8">
        <v>-0.15502928797585161</v>
      </c>
      <c r="I4" s="8">
        <v>1</v>
      </c>
    </row>
    <row r="5" spans="1:9" x14ac:dyDescent="0.2">
      <c r="B5" s="1">
        <v>3618.44</v>
      </c>
      <c r="C5" s="11">
        <v>5</v>
      </c>
    </row>
    <row r="6" spans="1:9" hidden="1" x14ac:dyDescent="0.2">
      <c r="B6">
        <v>453.73</v>
      </c>
      <c r="C6"/>
    </row>
    <row r="7" spans="1:9" hidden="1" x14ac:dyDescent="0.2">
      <c r="B7">
        <v>2049.27</v>
      </c>
      <c r="C7"/>
    </row>
    <row r="8" spans="1:9" x14ac:dyDescent="0.2">
      <c r="B8" s="1">
        <v>196.92</v>
      </c>
      <c r="C8" s="11">
        <v>4</v>
      </c>
    </row>
    <row r="9" spans="1:9" x14ac:dyDescent="0.2">
      <c r="B9" s="1">
        <v>4808.24</v>
      </c>
      <c r="C9" s="11">
        <v>1</v>
      </c>
    </row>
    <row r="10" spans="1:9" x14ac:dyDescent="0.2">
      <c r="B10" s="1">
        <v>463.49</v>
      </c>
      <c r="C10" s="11">
        <v>2</v>
      </c>
    </row>
    <row r="11" spans="1:9" x14ac:dyDescent="0.2">
      <c r="B11" s="1">
        <v>2725.65</v>
      </c>
      <c r="C11" s="11">
        <v>3</v>
      </c>
    </row>
    <row r="12" spans="1:9" x14ac:dyDescent="0.2">
      <c r="B12" s="1">
        <v>2772.34</v>
      </c>
      <c r="C12" s="11">
        <v>3</v>
      </c>
    </row>
    <row r="13" spans="1:9" x14ac:dyDescent="0.2">
      <c r="B13" s="1">
        <v>4867.05</v>
      </c>
      <c r="C13" s="11">
        <v>1</v>
      </c>
    </row>
    <row r="14" spans="1:9" x14ac:dyDescent="0.2">
      <c r="B14" s="1">
        <v>823.28</v>
      </c>
      <c r="C14" s="11">
        <v>1</v>
      </c>
    </row>
    <row r="15" spans="1:9" x14ac:dyDescent="0.2">
      <c r="B15" s="1">
        <v>7213.99</v>
      </c>
      <c r="C15" s="11">
        <v>5</v>
      </c>
    </row>
    <row r="16" spans="1:9" x14ac:dyDescent="0.2">
      <c r="B16" s="1">
        <v>2772.08</v>
      </c>
      <c r="C16" s="11">
        <v>2</v>
      </c>
    </row>
    <row r="17" spans="2:3" x14ac:dyDescent="0.2">
      <c r="B17" s="1">
        <v>156.4</v>
      </c>
      <c r="C17" s="11">
        <v>3</v>
      </c>
    </row>
    <row r="18" spans="2:3" x14ac:dyDescent="0.2">
      <c r="B18" s="1">
        <v>7655.23</v>
      </c>
      <c r="C18" s="11">
        <v>1</v>
      </c>
    </row>
    <row r="19" spans="2:3" x14ac:dyDescent="0.2">
      <c r="B19" s="1">
        <v>769.83</v>
      </c>
      <c r="C19" s="11">
        <v>3</v>
      </c>
    </row>
    <row r="20" spans="2:3" x14ac:dyDescent="0.2">
      <c r="B20" s="1">
        <v>1423.43</v>
      </c>
      <c r="C20" s="11">
        <v>1</v>
      </c>
    </row>
    <row r="21" spans="2:3" x14ac:dyDescent="0.2">
      <c r="B21" s="1">
        <v>1413.1</v>
      </c>
      <c r="C21" s="11">
        <v>2</v>
      </c>
    </row>
    <row r="22" spans="2:3" x14ac:dyDescent="0.2">
      <c r="B22" s="1">
        <v>1008.9</v>
      </c>
      <c r="C22" s="11">
        <v>4</v>
      </c>
    </row>
    <row r="23" spans="2:3" x14ac:dyDescent="0.2">
      <c r="B23" s="1">
        <v>1887.62</v>
      </c>
      <c r="C23" s="11">
        <v>3</v>
      </c>
    </row>
    <row r="24" spans="2:3" hidden="1" x14ac:dyDescent="0.2">
      <c r="B24">
        <v>1478.82</v>
      </c>
      <c r="C24"/>
    </row>
    <row r="25" spans="2:3" hidden="1" x14ac:dyDescent="0.2">
      <c r="B25">
        <v>2303.0100000000002</v>
      </c>
      <c r="C25"/>
    </row>
    <row r="26" spans="2:3" x14ac:dyDescent="0.2">
      <c r="B26" s="1">
        <v>852.88</v>
      </c>
      <c r="C26" s="11">
        <v>4</v>
      </c>
    </row>
    <row r="27" spans="2:3" x14ac:dyDescent="0.2">
      <c r="B27" s="1">
        <v>1845.74</v>
      </c>
      <c r="C27" s="11">
        <v>2</v>
      </c>
    </row>
    <row r="28" spans="2:3" hidden="1" x14ac:dyDescent="0.2">
      <c r="B28">
        <v>326.27</v>
      </c>
      <c r="C28"/>
    </row>
    <row r="29" spans="2:3" x14ac:dyDescent="0.2">
      <c r="B29" s="1">
        <v>2410.15</v>
      </c>
      <c r="C29" s="11">
        <v>5</v>
      </c>
    </row>
    <row r="30" spans="2:3" x14ac:dyDescent="0.2">
      <c r="B30" s="1">
        <v>2606.4299999999998</v>
      </c>
      <c r="C30" s="11">
        <v>2</v>
      </c>
    </row>
    <row r="31" spans="2:3" x14ac:dyDescent="0.2">
      <c r="B31" s="1">
        <v>4596.54</v>
      </c>
      <c r="C31" s="11">
        <v>1</v>
      </c>
    </row>
    <row r="32" spans="2:3" x14ac:dyDescent="0.2">
      <c r="B32" s="1">
        <v>938.7</v>
      </c>
      <c r="C32" s="11">
        <v>2</v>
      </c>
    </row>
    <row r="33" spans="2:3" x14ac:dyDescent="0.2">
      <c r="B33" s="1">
        <v>760.42</v>
      </c>
      <c r="C33" s="11">
        <v>4</v>
      </c>
    </row>
    <row r="34" spans="2:3" x14ac:dyDescent="0.2">
      <c r="B34" s="1">
        <v>1031.45</v>
      </c>
      <c r="C34" s="11">
        <v>2</v>
      </c>
    </row>
    <row r="35" spans="2:3" hidden="1" x14ac:dyDescent="0.2">
      <c r="B35">
        <v>585.41999999999996</v>
      </c>
      <c r="C35"/>
    </row>
    <row r="36" spans="2:3" hidden="1" x14ac:dyDescent="0.2">
      <c r="B36">
        <v>949.31</v>
      </c>
      <c r="C36"/>
    </row>
    <row r="37" spans="2:3" x14ac:dyDescent="0.2">
      <c r="B37" s="1">
        <v>769.19</v>
      </c>
      <c r="C37" s="11">
        <v>3</v>
      </c>
    </row>
    <row r="38" spans="2:3" x14ac:dyDescent="0.2">
      <c r="B38" s="1">
        <v>891.25</v>
      </c>
      <c r="C38" s="11">
        <v>3</v>
      </c>
    </row>
    <row r="39" spans="2:3" x14ac:dyDescent="0.2">
      <c r="B39" s="1">
        <v>4059.76</v>
      </c>
      <c r="C39" s="11">
        <v>5</v>
      </c>
    </row>
    <row r="40" spans="2:3" x14ac:dyDescent="0.2">
      <c r="B40" s="1">
        <v>1039.45</v>
      </c>
      <c r="C40" s="11">
        <v>1</v>
      </c>
    </row>
    <row r="41" spans="2:3" x14ac:dyDescent="0.2">
      <c r="B41" s="1">
        <v>4329.04</v>
      </c>
      <c r="C41" s="11">
        <v>3</v>
      </c>
    </row>
    <row r="42" spans="2:3" x14ac:dyDescent="0.2">
      <c r="B42" s="1">
        <v>1097.96</v>
      </c>
      <c r="C42" s="11">
        <v>2</v>
      </c>
    </row>
    <row r="43" spans="2:3" x14ac:dyDescent="0.2">
      <c r="B43" s="1">
        <v>730.49</v>
      </c>
      <c r="C43" s="11">
        <v>5</v>
      </c>
    </row>
    <row r="44" spans="2:3" x14ac:dyDescent="0.2">
      <c r="B44" s="1">
        <v>3066.12</v>
      </c>
      <c r="C44" s="11">
        <v>3</v>
      </c>
    </row>
    <row r="45" spans="2:3" x14ac:dyDescent="0.2">
      <c r="B45" s="1">
        <v>143.82</v>
      </c>
      <c r="C45" s="11">
        <v>4</v>
      </c>
    </row>
    <row r="46" spans="2:3" hidden="1" x14ac:dyDescent="0.2">
      <c r="B46">
        <v>1420.81</v>
      </c>
      <c r="C46"/>
    </row>
    <row r="47" spans="2:3" x14ac:dyDescent="0.2">
      <c r="B47" s="1">
        <v>2163.2199999999998</v>
      </c>
      <c r="C47" s="11">
        <v>2</v>
      </c>
    </row>
    <row r="48" spans="2:3" hidden="1" x14ac:dyDescent="0.2">
      <c r="B48">
        <v>3073.17</v>
      </c>
      <c r="C48"/>
    </row>
    <row r="49" spans="2:3" x14ac:dyDescent="0.2">
      <c r="B49" s="1">
        <v>2441.88</v>
      </c>
      <c r="C49" s="11">
        <v>5</v>
      </c>
    </row>
    <row r="50" spans="2:3" hidden="1" x14ac:dyDescent="0.2">
      <c r="B50">
        <v>7693.34</v>
      </c>
      <c r="C50"/>
    </row>
    <row r="51" spans="2:3" x14ac:dyDescent="0.2">
      <c r="B51" s="1">
        <v>1448.24</v>
      </c>
      <c r="C51" s="11">
        <v>1</v>
      </c>
    </row>
    <row r="52" spans="2:3" x14ac:dyDescent="0.2">
      <c r="B52" s="1">
        <v>1287.9000000000001</v>
      </c>
      <c r="C52" s="11">
        <v>5</v>
      </c>
    </row>
    <row r="53" spans="2:3" x14ac:dyDescent="0.2">
      <c r="B53" s="1">
        <v>1678.29</v>
      </c>
      <c r="C53" s="11">
        <v>1</v>
      </c>
    </row>
    <row r="54" spans="2:3" x14ac:dyDescent="0.2">
      <c r="B54" s="1">
        <v>1428.96</v>
      </c>
      <c r="C54" s="11">
        <v>5</v>
      </c>
    </row>
    <row r="55" spans="2:3" hidden="1" x14ac:dyDescent="0.2">
      <c r="B55">
        <v>7993.2</v>
      </c>
      <c r="C55"/>
    </row>
    <row r="56" spans="2:3" hidden="1" x14ac:dyDescent="0.2">
      <c r="B56">
        <v>1155.3399999999999</v>
      </c>
      <c r="C56"/>
    </row>
    <row r="57" spans="2:3" x14ac:dyDescent="0.2">
      <c r="B57" s="1">
        <v>1299.04</v>
      </c>
      <c r="C57" s="11">
        <v>4</v>
      </c>
    </row>
    <row r="58" spans="2:3" x14ac:dyDescent="0.2">
      <c r="B58" s="1">
        <v>2156.9699999999998</v>
      </c>
      <c r="C58" s="11">
        <v>4</v>
      </c>
    </row>
    <row r="59" spans="2:3" x14ac:dyDescent="0.2">
      <c r="B59" s="1">
        <v>955.23</v>
      </c>
      <c r="C59" s="11">
        <v>3</v>
      </c>
    </row>
    <row r="60" spans="2:3" x14ac:dyDescent="0.2">
      <c r="B60" s="1">
        <v>10818.44</v>
      </c>
      <c r="C60" s="11">
        <v>1</v>
      </c>
    </row>
    <row r="61" spans="2:3" x14ac:dyDescent="0.2">
      <c r="B61" s="1">
        <v>829.82</v>
      </c>
      <c r="C61" s="11">
        <v>3</v>
      </c>
    </row>
    <row r="62" spans="2:3" x14ac:dyDescent="0.2">
      <c r="B62" s="1">
        <v>829.55</v>
      </c>
      <c r="C62" s="11">
        <v>5</v>
      </c>
    </row>
    <row r="63" spans="2:3" x14ac:dyDescent="0.2">
      <c r="B63" s="1">
        <v>1023.11</v>
      </c>
      <c r="C63" s="11">
        <v>5</v>
      </c>
    </row>
    <row r="64" spans="2:3" x14ac:dyDescent="0.2">
      <c r="B64" s="1">
        <v>1884.6</v>
      </c>
      <c r="C64" s="11">
        <v>2</v>
      </c>
    </row>
    <row r="65" spans="2:3" x14ac:dyDescent="0.2">
      <c r="B65" s="1">
        <v>1009.15</v>
      </c>
      <c r="C65" s="11">
        <v>1</v>
      </c>
    </row>
    <row r="66" spans="2:3" x14ac:dyDescent="0.2">
      <c r="B66" s="1">
        <v>4811.97</v>
      </c>
      <c r="C66" s="11">
        <v>3</v>
      </c>
    </row>
    <row r="67" spans="2:3" x14ac:dyDescent="0.2">
      <c r="B67" s="1">
        <v>158.35</v>
      </c>
      <c r="C67" s="11">
        <v>5</v>
      </c>
    </row>
    <row r="68" spans="2:3" x14ac:dyDescent="0.2">
      <c r="B68" s="1">
        <v>10264.32</v>
      </c>
      <c r="C68" s="11">
        <v>4</v>
      </c>
    </row>
    <row r="69" spans="2:3" x14ac:dyDescent="0.2">
      <c r="B69" s="1">
        <v>1810.68</v>
      </c>
      <c r="C69" s="11">
        <v>4</v>
      </c>
    </row>
    <row r="70" spans="2:3" x14ac:dyDescent="0.2">
      <c r="B70" s="1">
        <v>764.48</v>
      </c>
      <c r="C70" s="11">
        <v>4</v>
      </c>
    </row>
    <row r="71" spans="2:3" x14ac:dyDescent="0.2">
      <c r="B71" s="1">
        <v>1507.53</v>
      </c>
      <c r="C71" s="11">
        <v>2</v>
      </c>
    </row>
    <row r="72" spans="2:3" x14ac:dyDescent="0.2">
      <c r="B72" s="1">
        <v>774.21</v>
      </c>
      <c r="C72" s="11">
        <v>4</v>
      </c>
    </row>
    <row r="73" spans="2:3" hidden="1" x14ac:dyDescent="0.2">
      <c r="B73">
        <v>6497.81</v>
      </c>
      <c r="C73"/>
    </row>
    <row r="74" spans="2:3" x14ac:dyDescent="0.2">
      <c r="B74" s="1">
        <v>821.66</v>
      </c>
      <c r="C74" s="11">
        <v>5</v>
      </c>
    </row>
    <row r="75" spans="2:3" hidden="1" x14ac:dyDescent="0.2">
      <c r="B75">
        <v>7986.81</v>
      </c>
      <c r="C75"/>
    </row>
    <row r="76" spans="2:3" hidden="1" x14ac:dyDescent="0.2">
      <c r="B76">
        <v>2433.67</v>
      </c>
      <c r="C76"/>
    </row>
    <row r="77" spans="2:3" x14ac:dyDescent="0.2">
      <c r="B77" s="1">
        <v>4807.6099999999997</v>
      </c>
      <c r="C77" s="11">
        <v>1</v>
      </c>
    </row>
    <row r="78" spans="2:3" x14ac:dyDescent="0.2">
      <c r="B78" s="1">
        <v>11414.65</v>
      </c>
      <c r="C78" s="11">
        <v>4</v>
      </c>
    </row>
    <row r="79" spans="2:3" x14ac:dyDescent="0.2">
      <c r="B79" s="1">
        <v>8659.7800000000007</v>
      </c>
      <c r="C79" s="11">
        <v>2</v>
      </c>
    </row>
    <row r="80" spans="2:3" x14ac:dyDescent="0.2">
      <c r="B80" s="1">
        <v>2703.51</v>
      </c>
      <c r="C80" s="11">
        <v>2</v>
      </c>
    </row>
    <row r="81" spans="2:3" x14ac:dyDescent="0.2">
      <c r="B81" s="1">
        <v>657.22</v>
      </c>
      <c r="C81" s="11">
        <v>2</v>
      </c>
    </row>
    <row r="82" spans="2:3" x14ac:dyDescent="0.2">
      <c r="B82" s="1">
        <v>2726.06</v>
      </c>
      <c r="C82" s="11">
        <v>5</v>
      </c>
    </row>
    <row r="83" spans="2:3" x14ac:dyDescent="0.2">
      <c r="B83" s="1">
        <v>2149.5700000000002</v>
      </c>
      <c r="C83" s="11">
        <v>5</v>
      </c>
    </row>
    <row r="84" spans="2:3" hidden="1" x14ac:dyDescent="0.2">
      <c r="B84">
        <v>1851.52</v>
      </c>
      <c r="C84"/>
    </row>
    <row r="85" spans="2:3" x14ac:dyDescent="0.2">
      <c r="B85" s="1">
        <v>283</v>
      </c>
      <c r="C85" s="11">
        <v>5</v>
      </c>
    </row>
    <row r="86" spans="2:3" x14ac:dyDescent="0.2">
      <c r="B86" s="1">
        <v>7565.36</v>
      </c>
      <c r="C86" s="11">
        <v>5</v>
      </c>
    </row>
    <row r="87" spans="2:3" hidden="1" x14ac:dyDescent="0.2">
      <c r="B87">
        <v>1157.4000000000001</v>
      </c>
      <c r="C87"/>
    </row>
    <row r="88" spans="2:3" x14ac:dyDescent="0.2">
      <c r="B88" s="1">
        <v>1444.74</v>
      </c>
      <c r="C88" s="11">
        <v>5</v>
      </c>
    </row>
    <row r="89" spans="2:3" x14ac:dyDescent="0.2">
      <c r="B89" s="1">
        <v>831.26</v>
      </c>
      <c r="C89" s="11">
        <v>2</v>
      </c>
    </row>
    <row r="90" spans="2:3" x14ac:dyDescent="0.2">
      <c r="B90" s="1">
        <v>2191.87</v>
      </c>
      <c r="C90" s="11">
        <v>2</v>
      </c>
    </row>
    <row r="91" spans="2:3" x14ac:dyDescent="0.2">
      <c r="B91" s="1">
        <v>9012.74</v>
      </c>
      <c r="C91" s="11">
        <v>3</v>
      </c>
    </row>
    <row r="92" spans="2:3" x14ac:dyDescent="0.2">
      <c r="B92" s="1">
        <v>2319.9299999999998</v>
      </c>
      <c r="C92" s="11">
        <v>5</v>
      </c>
    </row>
    <row r="93" spans="2:3" hidden="1" x14ac:dyDescent="0.2">
      <c r="B93">
        <v>4815.63</v>
      </c>
      <c r="C93"/>
    </row>
    <row r="94" spans="2:3" x14ac:dyDescent="0.2">
      <c r="B94" s="1">
        <v>9619.19</v>
      </c>
      <c r="C94" s="11">
        <v>1</v>
      </c>
    </row>
    <row r="95" spans="2:3" hidden="1" x14ac:dyDescent="0.2">
      <c r="B95">
        <v>2582.9899999999998</v>
      </c>
      <c r="C95"/>
    </row>
    <row r="96" spans="2:3" x14ac:dyDescent="0.2">
      <c r="B96" s="1">
        <v>573.83000000000004</v>
      </c>
      <c r="C96" s="11">
        <v>1</v>
      </c>
    </row>
    <row r="97" spans="2:3" x14ac:dyDescent="0.2">
      <c r="B97" s="1">
        <v>2206.29</v>
      </c>
      <c r="C97" s="11">
        <v>3</v>
      </c>
    </row>
    <row r="98" spans="2:3" x14ac:dyDescent="0.2">
      <c r="B98" s="1">
        <v>544.38</v>
      </c>
      <c r="C98" s="11">
        <v>2</v>
      </c>
    </row>
    <row r="99" spans="2:3" x14ac:dyDescent="0.2">
      <c r="B99" s="1">
        <v>12013.24</v>
      </c>
      <c r="C99" s="11">
        <v>1</v>
      </c>
    </row>
    <row r="100" spans="2:3" x14ac:dyDescent="0.2">
      <c r="B100" s="1">
        <v>6844.4</v>
      </c>
      <c r="C100" s="11">
        <v>2</v>
      </c>
    </row>
    <row r="101" spans="2:3" x14ac:dyDescent="0.2">
      <c r="B101" s="1">
        <v>1587.75</v>
      </c>
      <c r="C101" s="11">
        <v>1</v>
      </c>
    </row>
  </sheetData>
  <autoFilter ref="B1:C101" xr:uid="{98C8C973-B435-4F7B-AD0A-92D72DF086F1}">
    <filterColumn colId="1">
      <customFilters>
        <customFilter operator="notEqual" val=" "/>
      </customFilters>
    </filterColumn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EB4F6C-0D1F-42FA-A753-630D0092F3C9}">
  <sheetPr filterMode="1"/>
  <dimension ref="A1:P101"/>
  <sheetViews>
    <sheetView workbookViewId="0">
      <selection activeCell="A15" sqref="A15"/>
    </sheetView>
  </sheetViews>
  <sheetFormatPr baseColWidth="10" defaultColWidth="8.83203125" defaultRowHeight="15" x14ac:dyDescent="0.2"/>
  <cols>
    <col min="1" max="1" width="92.5" customWidth="1"/>
    <col min="3" max="3" width="8" style="11" bestFit="1" customWidth="1"/>
    <col min="4" max="4" width="23.5" style="11" bestFit="1" customWidth="1"/>
    <col min="5" max="5" width="11.5" style="11" bestFit="1" customWidth="1"/>
    <col min="6" max="6" width="17.83203125" style="11" bestFit="1" customWidth="1"/>
    <col min="7" max="7" width="20.83203125" style="11" bestFit="1" customWidth="1"/>
    <col min="9" max="9" width="11.5" style="11" bestFit="1" customWidth="1"/>
    <col min="10" max="10" width="6.83203125" style="11" bestFit="1" customWidth="1"/>
    <col min="11" max="11" width="17.83203125" bestFit="1" customWidth="1"/>
    <col min="12" max="13" width="14.33203125" style="11" bestFit="1" customWidth="1"/>
    <col min="14" max="14" width="9.6640625" bestFit="1" customWidth="1"/>
    <col min="15" max="15" width="9.6640625" style="11" bestFit="1" customWidth="1"/>
    <col min="16" max="16" width="8.83203125" style="11"/>
  </cols>
  <sheetData>
    <row r="1" spans="1:16" ht="172.5" customHeight="1" x14ac:dyDescent="0.2">
      <c r="A1" s="2" t="s">
        <v>882</v>
      </c>
      <c r="C1" s="13" t="s">
        <v>16</v>
      </c>
      <c r="D1" s="14" t="s">
        <v>890</v>
      </c>
      <c r="E1" s="13"/>
      <c r="F1" s="13" t="s">
        <v>18</v>
      </c>
      <c r="G1" s="15" t="s">
        <v>891</v>
      </c>
      <c r="I1" s="13" t="s">
        <v>19</v>
      </c>
      <c r="J1" s="15" t="s">
        <v>892</v>
      </c>
      <c r="K1" s="13"/>
      <c r="L1" s="13" t="s">
        <v>21</v>
      </c>
      <c r="M1" s="15" t="s">
        <v>893</v>
      </c>
      <c r="N1" s="13"/>
      <c r="O1" s="13" t="s">
        <v>20</v>
      </c>
      <c r="P1" s="15" t="s">
        <v>894</v>
      </c>
    </row>
    <row r="2" spans="1:16" x14ac:dyDescent="0.2">
      <c r="A2" t="s">
        <v>883</v>
      </c>
      <c r="C2" s="11">
        <v>5</v>
      </c>
      <c r="D2" s="11">
        <f>IFERROR(VALUE(C2),"")</f>
        <v>5</v>
      </c>
      <c r="F2" s="11">
        <v>0</v>
      </c>
      <c r="G2" s="11">
        <f>IFERROR(VALUE(F2),"")</f>
        <v>0</v>
      </c>
      <c r="I2" s="11">
        <v>18.72</v>
      </c>
      <c r="J2" s="11">
        <f>IFERROR(VALUE(I2),"")</f>
        <v>18.72</v>
      </c>
      <c r="L2" s="11">
        <v>1</v>
      </c>
      <c r="M2" s="11">
        <f>IFERROR(VALUE(L2),"")</f>
        <v>1</v>
      </c>
      <c r="O2" s="11">
        <v>768.72</v>
      </c>
      <c r="P2" s="11">
        <f>IFERROR(VALUE(O2),"")</f>
        <v>768.72</v>
      </c>
    </row>
    <row r="3" spans="1:16" hidden="1" x14ac:dyDescent="0.2">
      <c r="C3" s="11" t="s">
        <v>37</v>
      </c>
      <c r="D3" s="11" t="str">
        <f t="shared" ref="D3:D66" si="0">IFERROR(VALUE(C3),"")</f>
        <v/>
      </c>
      <c r="F3" s="11">
        <v>10</v>
      </c>
      <c r="G3" s="11">
        <f t="shared" ref="G3:G66" si="1">IFERROR(VALUE(F3),"")</f>
        <v>10</v>
      </c>
      <c r="I3" s="11">
        <v>3.49</v>
      </c>
      <c r="J3" s="11">
        <f t="shared" ref="J3:J66" si="2">IFERROR(VALUE(I3),"")</f>
        <v>3.49</v>
      </c>
      <c r="L3" s="11">
        <v>4</v>
      </c>
      <c r="M3" s="11">
        <f t="shared" ref="M3:M66" si="3">IFERROR(VALUE(L3),"")</f>
        <v>4</v>
      </c>
      <c r="O3" s="11">
        <v>993.49</v>
      </c>
      <c r="P3" s="11">
        <f t="shared" ref="P3:P66" si="4">IFERROR(VALUE(O3),"")</f>
        <v>993.49</v>
      </c>
    </row>
    <row r="4" spans="1:16" hidden="1" x14ac:dyDescent="0.2">
      <c r="C4" s="11" t="s">
        <v>37</v>
      </c>
      <c r="D4" s="11" t="str">
        <f t="shared" si="0"/>
        <v/>
      </c>
      <c r="F4" s="11">
        <v>15</v>
      </c>
      <c r="G4" s="11">
        <f t="shared" si="1"/>
        <v>15</v>
      </c>
      <c r="I4" s="11">
        <v>6.03</v>
      </c>
      <c r="J4" s="11">
        <f t="shared" si="2"/>
        <v>6.03</v>
      </c>
      <c r="L4" s="11">
        <v>2</v>
      </c>
      <c r="M4" s="11">
        <f t="shared" si="3"/>
        <v>2</v>
      </c>
      <c r="O4" s="11">
        <v>1740.03</v>
      </c>
      <c r="P4" s="11">
        <f t="shared" si="4"/>
        <v>1740.03</v>
      </c>
    </row>
    <row r="5" spans="1:16" x14ac:dyDescent="0.2">
      <c r="C5" s="11">
        <v>5</v>
      </c>
      <c r="D5" s="11">
        <f t="shared" si="0"/>
        <v>5</v>
      </c>
      <c r="F5" s="11">
        <v>20</v>
      </c>
      <c r="G5" s="11">
        <f t="shared" si="1"/>
        <v>20</v>
      </c>
      <c r="I5" s="11">
        <v>18.440000000000001</v>
      </c>
      <c r="J5" s="11">
        <f t="shared" si="2"/>
        <v>18.440000000000001</v>
      </c>
      <c r="L5" s="11">
        <v>5</v>
      </c>
      <c r="M5" s="11">
        <f t="shared" si="3"/>
        <v>5</v>
      </c>
      <c r="O5" s="11">
        <v>3618.44</v>
      </c>
      <c r="P5" s="11">
        <f t="shared" si="4"/>
        <v>3618.44</v>
      </c>
    </row>
    <row r="6" spans="1:16" hidden="1" x14ac:dyDescent="0.2">
      <c r="C6" s="11" t="s">
        <v>37</v>
      </c>
      <c r="D6" s="11" t="str">
        <f t="shared" si="0"/>
        <v/>
      </c>
      <c r="F6" s="11">
        <v>0</v>
      </c>
      <c r="G6" s="11">
        <f t="shared" si="1"/>
        <v>0</v>
      </c>
      <c r="I6" s="11">
        <v>3.73</v>
      </c>
      <c r="J6" s="11">
        <f t="shared" si="2"/>
        <v>3.73</v>
      </c>
      <c r="M6" s="11">
        <f t="shared" si="3"/>
        <v>0</v>
      </c>
      <c r="O6" s="11">
        <v>453.73</v>
      </c>
      <c r="P6" s="11">
        <f t="shared" si="4"/>
        <v>453.73</v>
      </c>
    </row>
    <row r="7" spans="1:16" hidden="1" x14ac:dyDescent="0.2">
      <c r="C7" s="11">
        <v>6</v>
      </c>
      <c r="D7" s="11">
        <f t="shared" si="0"/>
        <v>6</v>
      </c>
      <c r="F7" s="11">
        <v>0</v>
      </c>
      <c r="G7" s="11">
        <f t="shared" si="1"/>
        <v>0</v>
      </c>
      <c r="I7" s="11">
        <v>9.27</v>
      </c>
      <c r="J7" s="11">
        <f t="shared" si="2"/>
        <v>9.27</v>
      </c>
      <c r="M7" s="11">
        <f t="shared" si="3"/>
        <v>0</v>
      </c>
      <c r="O7" s="11">
        <v>2049.27</v>
      </c>
      <c r="P7" s="11">
        <f t="shared" si="4"/>
        <v>2049.27</v>
      </c>
    </row>
    <row r="8" spans="1:16" hidden="1" x14ac:dyDescent="0.2">
      <c r="C8" s="11" t="s">
        <v>37</v>
      </c>
      <c r="D8" s="11" t="str">
        <f t="shared" si="0"/>
        <v/>
      </c>
      <c r="F8" s="11">
        <v>15</v>
      </c>
      <c r="G8" s="11">
        <f t="shared" si="1"/>
        <v>15</v>
      </c>
      <c r="I8" s="11">
        <v>9.92</v>
      </c>
      <c r="J8" s="11">
        <f t="shared" si="2"/>
        <v>9.92</v>
      </c>
      <c r="L8" s="11">
        <v>4</v>
      </c>
      <c r="M8" s="11">
        <f t="shared" si="3"/>
        <v>4</v>
      </c>
      <c r="O8" s="11">
        <v>196.92</v>
      </c>
      <c r="P8" s="11">
        <f t="shared" si="4"/>
        <v>196.92</v>
      </c>
    </row>
    <row r="9" spans="1:16" x14ac:dyDescent="0.2">
      <c r="C9" s="11">
        <v>4</v>
      </c>
      <c r="D9" s="11">
        <f t="shared" si="0"/>
        <v>4</v>
      </c>
      <c r="F9" s="11">
        <v>0</v>
      </c>
      <c r="G9" s="11">
        <f t="shared" si="1"/>
        <v>0</v>
      </c>
      <c r="I9" s="11">
        <v>8.24</v>
      </c>
      <c r="J9" s="11">
        <f t="shared" si="2"/>
        <v>8.24</v>
      </c>
      <c r="L9" s="11">
        <v>1</v>
      </c>
      <c r="M9" s="11">
        <f t="shared" si="3"/>
        <v>1</v>
      </c>
      <c r="O9" s="11">
        <v>4808.24</v>
      </c>
      <c r="P9" s="11">
        <f t="shared" si="4"/>
        <v>4808.24</v>
      </c>
    </row>
    <row r="10" spans="1:16" x14ac:dyDescent="0.2">
      <c r="C10" s="11">
        <v>3</v>
      </c>
      <c r="D10" s="11">
        <f t="shared" si="0"/>
        <v>3</v>
      </c>
      <c r="F10" s="11">
        <v>0</v>
      </c>
      <c r="G10" s="11">
        <f t="shared" si="1"/>
        <v>0</v>
      </c>
      <c r="I10" s="11">
        <v>13.49</v>
      </c>
      <c r="J10" s="11">
        <f t="shared" si="2"/>
        <v>13.49</v>
      </c>
      <c r="L10" s="11">
        <v>2</v>
      </c>
      <c r="M10" s="11">
        <f t="shared" si="3"/>
        <v>2</v>
      </c>
      <c r="O10" s="11">
        <v>463.49</v>
      </c>
      <c r="P10" s="11">
        <f t="shared" si="4"/>
        <v>463.49</v>
      </c>
    </row>
    <row r="11" spans="1:16" hidden="1" x14ac:dyDescent="0.2">
      <c r="C11" s="11" t="s">
        <v>37</v>
      </c>
      <c r="D11" s="11" t="str">
        <f t="shared" si="0"/>
        <v/>
      </c>
      <c r="F11" s="11">
        <v>0</v>
      </c>
      <c r="G11" s="11">
        <f t="shared" si="1"/>
        <v>0</v>
      </c>
      <c r="I11" s="11">
        <v>5.65</v>
      </c>
      <c r="J11" s="11">
        <f t="shared" si="2"/>
        <v>5.65</v>
      </c>
      <c r="L11" s="11">
        <v>3</v>
      </c>
      <c r="M11" s="11">
        <f t="shared" si="3"/>
        <v>3</v>
      </c>
      <c r="O11" s="11">
        <v>2725.65</v>
      </c>
      <c r="P11" s="11">
        <f t="shared" si="4"/>
        <v>2725.65</v>
      </c>
    </row>
    <row r="12" spans="1:16" x14ac:dyDescent="0.2">
      <c r="C12" s="11">
        <v>9</v>
      </c>
      <c r="D12" s="11">
        <f t="shared" si="0"/>
        <v>9</v>
      </c>
      <c r="F12" s="11">
        <v>10</v>
      </c>
      <c r="G12" s="11">
        <f t="shared" si="1"/>
        <v>10</v>
      </c>
      <c r="I12" s="11">
        <v>18.34</v>
      </c>
      <c r="J12" s="11">
        <f t="shared" si="2"/>
        <v>18.34</v>
      </c>
      <c r="L12" s="11">
        <v>3</v>
      </c>
      <c r="M12" s="11">
        <f t="shared" si="3"/>
        <v>3</v>
      </c>
      <c r="O12" s="11">
        <v>2772.34</v>
      </c>
      <c r="P12" s="11">
        <f t="shared" si="4"/>
        <v>2772.34</v>
      </c>
    </row>
    <row r="13" spans="1:16" hidden="1" x14ac:dyDescent="0.2">
      <c r="C13" s="11" t="s">
        <v>37</v>
      </c>
      <c r="D13" s="11" t="str">
        <f t="shared" si="0"/>
        <v/>
      </c>
      <c r="F13" s="11">
        <v>10</v>
      </c>
      <c r="G13" s="11">
        <f t="shared" si="1"/>
        <v>10</v>
      </c>
      <c r="I13" s="11">
        <v>7.05</v>
      </c>
      <c r="J13" s="11">
        <f t="shared" si="2"/>
        <v>7.05</v>
      </c>
      <c r="L13" s="11">
        <v>1</v>
      </c>
      <c r="M13" s="11">
        <f t="shared" si="3"/>
        <v>1</v>
      </c>
      <c r="O13" s="11">
        <v>4867.05</v>
      </c>
      <c r="P13" s="11">
        <f t="shared" si="4"/>
        <v>4867.05</v>
      </c>
    </row>
    <row r="14" spans="1:16" x14ac:dyDescent="0.2">
      <c r="C14" s="11">
        <v>3</v>
      </c>
      <c r="D14" s="11">
        <f t="shared" si="0"/>
        <v>3</v>
      </c>
      <c r="F14" s="11">
        <v>20</v>
      </c>
      <c r="G14" s="11">
        <f t="shared" si="1"/>
        <v>20</v>
      </c>
      <c r="I14" s="11">
        <v>7.28</v>
      </c>
      <c r="J14" s="11">
        <f t="shared" si="2"/>
        <v>7.28</v>
      </c>
      <c r="L14" s="11">
        <v>1</v>
      </c>
      <c r="M14" s="11">
        <f t="shared" si="3"/>
        <v>1</v>
      </c>
      <c r="O14" s="11">
        <v>823.28</v>
      </c>
      <c r="P14" s="11">
        <f t="shared" si="4"/>
        <v>823.28</v>
      </c>
    </row>
    <row r="15" spans="1:16" x14ac:dyDescent="0.2">
      <c r="C15" s="11">
        <v>8</v>
      </c>
      <c r="D15" s="11">
        <f t="shared" si="0"/>
        <v>8</v>
      </c>
      <c r="F15" s="11">
        <v>0</v>
      </c>
      <c r="G15" s="11">
        <f t="shared" si="1"/>
        <v>0</v>
      </c>
      <c r="I15" s="11">
        <v>13.99</v>
      </c>
      <c r="J15" s="11">
        <f t="shared" si="2"/>
        <v>13.99</v>
      </c>
      <c r="L15" s="11">
        <v>5</v>
      </c>
      <c r="M15" s="11">
        <f t="shared" si="3"/>
        <v>5</v>
      </c>
      <c r="O15" s="11">
        <v>7213.99</v>
      </c>
      <c r="P15" s="11">
        <f t="shared" si="4"/>
        <v>7213.99</v>
      </c>
    </row>
    <row r="16" spans="1:16" x14ac:dyDescent="0.2">
      <c r="C16" s="11">
        <v>9</v>
      </c>
      <c r="D16" s="11">
        <f t="shared" si="0"/>
        <v>9</v>
      </c>
      <c r="F16" s="11">
        <v>10</v>
      </c>
      <c r="G16" s="11">
        <f t="shared" si="1"/>
        <v>10</v>
      </c>
      <c r="I16" s="11">
        <v>18.079999999999998</v>
      </c>
      <c r="J16" s="11">
        <f t="shared" si="2"/>
        <v>18.079999999999998</v>
      </c>
      <c r="L16" s="11">
        <v>2</v>
      </c>
      <c r="M16" s="11">
        <f t="shared" si="3"/>
        <v>2</v>
      </c>
      <c r="O16" s="11">
        <v>2772.08</v>
      </c>
      <c r="P16" s="11">
        <f t="shared" si="4"/>
        <v>2772.08</v>
      </c>
    </row>
    <row r="17" spans="3:16" x14ac:dyDescent="0.2">
      <c r="C17" s="11">
        <v>1</v>
      </c>
      <c r="D17" s="11">
        <f t="shared" si="0"/>
        <v>1</v>
      </c>
      <c r="F17" s="11">
        <v>5</v>
      </c>
      <c r="G17" s="11">
        <f t="shared" si="1"/>
        <v>5</v>
      </c>
      <c r="I17" s="11">
        <v>13.9</v>
      </c>
      <c r="J17" s="11">
        <f t="shared" si="2"/>
        <v>13.9</v>
      </c>
      <c r="L17" s="11">
        <v>3</v>
      </c>
      <c r="M17" s="11">
        <f t="shared" si="3"/>
        <v>3</v>
      </c>
      <c r="O17" s="11">
        <v>156.4</v>
      </c>
      <c r="P17" s="11">
        <f t="shared" si="4"/>
        <v>156.4</v>
      </c>
    </row>
    <row r="18" spans="3:16" x14ac:dyDescent="0.2">
      <c r="C18" s="11">
        <v>10</v>
      </c>
      <c r="D18" s="11">
        <f t="shared" si="0"/>
        <v>10</v>
      </c>
      <c r="F18" s="11">
        <v>15</v>
      </c>
      <c r="G18" s="11">
        <f t="shared" si="1"/>
        <v>15</v>
      </c>
      <c r="I18" s="11">
        <v>5.23</v>
      </c>
      <c r="J18" s="11">
        <f t="shared" si="2"/>
        <v>5.23</v>
      </c>
      <c r="L18" s="11">
        <v>1</v>
      </c>
      <c r="M18" s="11">
        <f t="shared" si="3"/>
        <v>1</v>
      </c>
      <c r="O18" s="11">
        <v>7655.23</v>
      </c>
      <c r="P18" s="11">
        <f t="shared" si="4"/>
        <v>7655.23</v>
      </c>
    </row>
    <row r="19" spans="3:16" x14ac:dyDescent="0.2">
      <c r="C19" s="11">
        <v>5</v>
      </c>
      <c r="D19" s="11">
        <f t="shared" si="0"/>
        <v>5</v>
      </c>
      <c r="F19" s="11">
        <v>0</v>
      </c>
      <c r="G19" s="11">
        <f t="shared" si="1"/>
        <v>0</v>
      </c>
      <c r="I19" s="11">
        <v>19.829999999999998</v>
      </c>
      <c r="J19" s="11">
        <f t="shared" si="2"/>
        <v>19.829999999999998</v>
      </c>
      <c r="L19" s="11">
        <v>3</v>
      </c>
      <c r="M19" s="11">
        <f t="shared" si="3"/>
        <v>3</v>
      </c>
      <c r="O19" s="11">
        <v>769.83</v>
      </c>
      <c r="P19" s="11">
        <f t="shared" si="4"/>
        <v>769.83</v>
      </c>
    </row>
    <row r="20" spans="3:16" hidden="1" x14ac:dyDescent="0.2">
      <c r="C20" s="11" t="s">
        <v>37</v>
      </c>
      <c r="D20" s="11" t="str">
        <f t="shared" si="0"/>
        <v/>
      </c>
      <c r="F20" s="11">
        <v>20</v>
      </c>
      <c r="G20" s="11">
        <f t="shared" si="1"/>
        <v>20</v>
      </c>
      <c r="I20" s="11">
        <v>15.43</v>
      </c>
      <c r="J20" s="11">
        <f t="shared" si="2"/>
        <v>15.43</v>
      </c>
      <c r="L20" s="11">
        <v>1</v>
      </c>
      <c r="M20" s="11">
        <f t="shared" si="3"/>
        <v>1</v>
      </c>
      <c r="O20" s="11">
        <v>1423.43</v>
      </c>
      <c r="P20" s="11">
        <f t="shared" si="4"/>
        <v>1423.43</v>
      </c>
    </row>
    <row r="21" spans="3:16" hidden="1" x14ac:dyDescent="0.2">
      <c r="C21" s="11" t="s">
        <v>37</v>
      </c>
      <c r="D21" s="11" t="str">
        <f t="shared" si="0"/>
        <v/>
      </c>
      <c r="F21" s="11">
        <v>20</v>
      </c>
      <c r="G21" s="11">
        <f t="shared" si="1"/>
        <v>20</v>
      </c>
      <c r="I21" s="11">
        <v>5.0999999999999996</v>
      </c>
      <c r="J21" s="11">
        <f t="shared" si="2"/>
        <v>5.0999999999999996</v>
      </c>
      <c r="L21" s="11">
        <v>2</v>
      </c>
      <c r="M21" s="11">
        <f t="shared" si="3"/>
        <v>2</v>
      </c>
      <c r="O21" s="11">
        <v>1413.1</v>
      </c>
      <c r="P21" s="11">
        <f t="shared" si="4"/>
        <v>1413.1</v>
      </c>
    </row>
    <row r="22" spans="3:16" x14ac:dyDescent="0.2">
      <c r="C22" s="11">
        <v>7</v>
      </c>
      <c r="D22" s="11">
        <f t="shared" si="0"/>
        <v>7</v>
      </c>
      <c r="F22" s="11">
        <v>5</v>
      </c>
      <c r="G22" s="11">
        <f t="shared" si="1"/>
        <v>5</v>
      </c>
      <c r="I22" s="11">
        <v>11.4</v>
      </c>
      <c r="J22" s="11">
        <f t="shared" si="2"/>
        <v>11.4</v>
      </c>
      <c r="L22" s="11">
        <v>4</v>
      </c>
      <c r="M22" s="11">
        <f t="shared" si="3"/>
        <v>4</v>
      </c>
      <c r="O22" s="11">
        <v>1008.9</v>
      </c>
      <c r="P22" s="11">
        <f t="shared" si="4"/>
        <v>1008.9</v>
      </c>
    </row>
    <row r="23" spans="3:16" x14ac:dyDescent="0.2">
      <c r="C23" s="11">
        <v>10</v>
      </c>
      <c r="D23" s="11">
        <f t="shared" si="0"/>
        <v>10</v>
      </c>
      <c r="F23" s="11">
        <v>15</v>
      </c>
      <c r="G23" s="11">
        <f t="shared" si="1"/>
        <v>15</v>
      </c>
      <c r="I23" s="11">
        <v>17.62</v>
      </c>
      <c r="J23" s="11">
        <f t="shared" si="2"/>
        <v>17.62</v>
      </c>
      <c r="L23" s="11">
        <v>3</v>
      </c>
      <c r="M23" s="11">
        <f t="shared" si="3"/>
        <v>3</v>
      </c>
      <c r="O23" s="11">
        <v>1887.62</v>
      </c>
      <c r="P23" s="11">
        <f t="shared" si="4"/>
        <v>1887.62</v>
      </c>
    </row>
    <row r="24" spans="3:16" hidden="1" x14ac:dyDescent="0.2">
      <c r="C24" s="11">
        <v>7</v>
      </c>
      <c r="D24" s="11">
        <f t="shared" si="0"/>
        <v>7</v>
      </c>
      <c r="F24" s="11">
        <v>5</v>
      </c>
      <c r="G24" s="11">
        <f t="shared" si="1"/>
        <v>5</v>
      </c>
      <c r="I24" s="11">
        <v>15.82</v>
      </c>
      <c r="J24" s="11">
        <f t="shared" si="2"/>
        <v>15.82</v>
      </c>
      <c r="M24" s="11">
        <f t="shared" si="3"/>
        <v>0</v>
      </c>
      <c r="O24" s="11">
        <v>1478.82</v>
      </c>
      <c r="P24" s="11">
        <f t="shared" si="4"/>
        <v>1478.82</v>
      </c>
    </row>
    <row r="25" spans="3:16" hidden="1" x14ac:dyDescent="0.2">
      <c r="C25" s="11">
        <v>3</v>
      </c>
      <c r="D25" s="11">
        <f t="shared" si="0"/>
        <v>3</v>
      </c>
      <c r="F25" s="11">
        <v>15</v>
      </c>
      <c r="G25" s="11">
        <f t="shared" si="1"/>
        <v>15</v>
      </c>
      <c r="I25" s="11">
        <v>8.01</v>
      </c>
      <c r="J25" s="11">
        <f t="shared" si="2"/>
        <v>8.01</v>
      </c>
      <c r="M25" s="11">
        <f t="shared" si="3"/>
        <v>0</v>
      </c>
      <c r="O25" s="11">
        <v>2303.0100000000002</v>
      </c>
      <c r="P25" s="11">
        <f t="shared" si="4"/>
        <v>2303.0100000000002</v>
      </c>
    </row>
    <row r="26" spans="3:16" hidden="1" x14ac:dyDescent="0.2">
      <c r="C26" s="11" t="s">
        <v>37</v>
      </c>
      <c r="D26" s="11" t="str">
        <f t="shared" si="0"/>
        <v/>
      </c>
      <c r="F26" s="11">
        <v>20</v>
      </c>
      <c r="G26" s="11">
        <f t="shared" si="1"/>
        <v>20</v>
      </c>
      <c r="I26" s="11">
        <v>12.88</v>
      </c>
      <c r="J26" s="11">
        <f t="shared" si="2"/>
        <v>12.88</v>
      </c>
      <c r="L26" s="11">
        <v>4</v>
      </c>
      <c r="M26" s="11">
        <f t="shared" si="3"/>
        <v>4</v>
      </c>
      <c r="O26" s="11">
        <v>852.88</v>
      </c>
      <c r="P26" s="11">
        <f t="shared" si="4"/>
        <v>852.88</v>
      </c>
    </row>
    <row r="27" spans="3:16" x14ac:dyDescent="0.2">
      <c r="C27" s="11">
        <v>6</v>
      </c>
      <c r="D27" s="11">
        <f t="shared" si="0"/>
        <v>6</v>
      </c>
      <c r="F27" s="11">
        <v>10</v>
      </c>
      <c r="G27" s="11">
        <f t="shared" si="1"/>
        <v>10</v>
      </c>
      <c r="I27" s="11">
        <v>9.74</v>
      </c>
      <c r="J27" s="11">
        <f t="shared" si="2"/>
        <v>9.74</v>
      </c>
      <c r="L27" s="11">
        <v>2</v>
      </c>
      <c r="M27" s="11">
        <f t="shared" si="3"/>
        <v>2</v>
      </c>
      <c r="O27" s="11">
        <v>1845.74</v>
      </c>
      <c r="P27" s="11">
        <f t="shared" si="4"/>
        <v>1845.74</v>
      </c>
    </row>
    <row r="28" spans="3:16" hidden="1" x14ac:dyDescent="0.2">
      <c r="C28" s="11">
        <v>1</v>
      </c>
      <c r="D28" s="11">
        <f t="shared" si="0"/>
        <v>1</v>
      </c>
      <c r="F28" s="11">
        <v>5</v>
      </c>
      <c r="G28" s="11">
        <f t="shared" si="1"/>
        <v>5</v>
      </c>
      <c r="I28" s="11">
        <v>3.27</v>
      </c>
      <c r="J28" s="11">
        <f t="shared" si="2"/>
        <v>3.27</v>
      </c>
      <c r="M28" s="11">
        <f t="shared" si="3"/>
        <v>0</v>
      </c>
      <c r="O28" s="11">
        <v>326.27</v>
      </c>
      <c r="P28" s="11">
        <f t="shared" si="4"/>
        <v>326.27</v>
      </c>
    </row>
    <row r="29" spans="3:16" hidden="1" x14ac:dyDescent="0.2">
      <c r="C29" s="11" t="s">
        <v>37</v>
      </c>
      <c r="D29" s="11" t="str">
        <f t="shared" si="0"/>
        <v/>
      </c>
      <c r="F29" s="11">
        <v>0</v>
      </c>
      <c r="G29" s="11">
        <f t="shared" si="1"/>
        <v>0</v>
      </c>
      <c r="I29" s="11">
        <v>10.15</v>
      </c>
      <c r="J29" s="11">
        <f t="shared" si="2"/>
        <v>10.15</v>
      </c>
      <c r="L29" s="11">
        <v>5</v>
      </c>
      <c r="M29" s="11">
        <f t="shared" si="3"/>
        <v>5</v>
      </c>
      <c r="O29" s="11">
        <v>2410.15</v>
      </c>
      <c r="P29" s="11">
        <f t="shared" si="4"/>
        <v>2410.15</v>
      </c>
    </row>
    <row r="30" spans="3:16" x14ac:dyDescent="0.2">
      <c r="C30" s="11">
        <v>9</v>
      </c>
      <c r="D30" s="11">
        <f t="shared" si="0"/>
        <v>9</v>
      </c>
      <c r="F30" s="11">
        <v>15</v>
      </c>
      <c r="G30" s="11">
        <f t="shared" si="1"/>
        <v>15</v>
      </c>
      <c r="I30" s="11">
        <v>5.43</v>
      </c>
      <c r="J30" s="11">
        <f t="shared" si="2"/>
        <v>5.43</v>
      </c>
      <c r="L30" s="11">
        <v>2</v>
      </c>
      <c r="M30" s="11">
        <f t="shared" si="3"/>
        <v>2</v>
      </c>
      <c r="O30" s="11">
        <v>2606.4299999999998</v>
      </c>
      <c r="P30" s="11">
        <f t="shared" si="4"/>
        <v>2606.4299999999998</v>
      </c>
    </row>
    <row r="31" spans="3:16" hidden="1" x14ac:dyDescent="0.2">
      <c r="C31" s="11" t="s">
        <v>37</v>
      </c>
      <c r="D31" s="11" t="str">
        <f t="shared" si="0"/>
        <v/>
      </c>
      <c r="F31" s="11">
        <v>15</v>
      </c>
      <c r="G31" s="11">
        <f t="shared" si="1"/>
        <v>15</v>
      </c>
      <c r="I31" s="11">
        <v>6.54</v>
      </c>
      <c r="J31" s="11">
        <f t="shared" si="2"/>
        <v>6.54</v>
      </c>
      <c r="L31" s="11">
        <v>1</v>
      </c>
      <c r="M31" s="11">
        <f t="shared" si="3"/>
        <v>1</v>
      </c>
      <c r="O31" s="11">
        <v>4596.54</v>
      </c>
      <c r="P31" s="11">
        <f t="shared" si="4"/>
        <v>4596.54</v>
      </c>
    </row>
    <row r="32" spans="3:16" x14ac:dyDescent="0.2">
      <c r="C32" s="11">
        <v>5</v>
      </c>
      <c r="D32" s="11">
        <f t="shared" si="0"/>
        <v>5</v>
      </c>
      <c r="F32" s="11">
        <v>15</v>
      </c>
      <c r="G32" s="11">
        <f t="shared" si="1"/>
        <v>15</v>
      </c>
      <c r="I32" s="11">
        <v>3.7</v>
      </c>
      <c r="J32" s="11">
        <f t="shared" si="2"/>
        <v>3.7</v>
      </c>
      <c r="L32" s="11">
        <v>2</v>
      </c>
      <c r="M32" s="11">
        <f t="shared" si="3"/>
        <v>2</v>
      </c>
      <c r="O32" s="11">
        <v>938.7</v>
      </c>
      <c r="P32" s="11">
        <f t="shared" si="4"/>
        <v>938.7</v>
      </c>
    </row>
    <row r="33" spans="3:16" x14ac:dyDescent="0.2">
      <c r="C33" s="11">
        <v>4</v>
      </c>
      <c r="D33" s="11">
        <f t="shared" si="0"/>
        <v>4</v>
      </c>
      <c r="F33" s="11">
        <v>15</v>
      </c>
      <c r="G33" s="11">
        <f t="shared" si="1"/>
        <v>15</v>
      </c>
      <c r="I33" s="11">
        <v>12.42</v>
      </c>
      <c r="J33" s="11">
        <f t="shared" si="2"/>
        <v>12.42</v>
      </c>
      <c r="L33" s="11">
        <v>4</v>
      </c>
      <c r="M33" s="11">
        <f t="shared" si="3"/>
        <v>4</v>
      </c>
      <c r="O33" s="11">
        <v>760.42</v>
      </c>
      <c r="P33" s="11">
        <f t="shared" si="4"/>
        <v>760.42</v>
      </c>
    </row>
    <row r="34" spans="3:16" x14ac:dyDescent="0.2">
      <c r="C34" s="11">
        <v>3</v>
      </c>
      <c r="D34" s="11">
        <f t="shared" si="0"/>
        <v>3</v>
      </c>
      <c r="F34" s="11">
        <v>0</v>
      </c>
      <c r="G34" s="11">
        <f t="shared" si="1"/>
        <v>0</v>
      </c>
      <c r="I34" s="11">
        <v>11.45</v>
      </c>
      <c r="J34" s="11">
        <f t="shared" si="2"/>
        <v>11.45</v>
      </c>
      <c r="L34" s="11">
        <v>2</v>
      </c>
      <c r="M34" s="11">
        <f t="shared" si="3"/>
        <v>2</v>
      </c>
      <c r="O34" s="11">
        <v>1031.45</v>
      </c>
      <c r="P34" s="11">
        <f t="shared" si="4"/>
        <v>1031.45</v>
      </c>
    </row>
    <row r="35" spans="3:16" hidden="1" x14ac:dyDescent="0.2">
      <c r="C35" s="11">
        <v>2</v>
      </c>
      <c r="D35" s="11">
        <f t="shared" si="0"/>
        <v>2</v>
      </c>
      <c r="F35" s="11">
        <v>15</v>
      </c>
      <c r="G35" s="11">
        <f t="shared" si="1"/>
        <v>15</v>
      </c>
      <c r="I35" s="11">
        <v>7.42</v>
      </c>
      <c r="J35" s="11">
        <f t="shared" si="2"/>
        <v>7.42</v>
      </c>
      <c r="M35" s="11">
        <f t="shared" si="3"/>
        <v>0</v>
      </c>
      <c r="O35" s="11">
        <v>585.41999999999996</v>
      </c>
      <c r="P35" s="11">
        <f t="shared" si="4"/>
        <v>585.41999999999996</v>
      </c>
    </row>
    <row r="36" spans="3:16" hidden="1" x14ac:dyDescent="0.2">
      <c r="C36" s="11">
        <v>7</v>
      </c>
      <c r="D36" s="11">
        <f t="shared" si="0"/>
        <v>7</v>
      </c>
      <c r="F36" s="11">
        <v>10</v>
      </c>
      <c r="G36" s="11">
        <f t="shared" si="1"/>
        <v>10</v>
      </c>
      <c r="I36" s="11">
        <v>4.3099999999999996</v>
      </c>
      <c r="J36" s="11">
        <f t="shared" si="2"/>
        <v>4.3099999999999996</v>
      </c>
      <c r="M36" s="11">
        <f t="shared" si="3"/>
        <v>0</v>
      </c>
      <c r="O36" s="11">
        <v>949.31</v>
      </c>
      <c r="P36" s="11">
        <f t="shared" si="4"/>
        <v>949.31</v>
      </c>
    </row>
    <row r="37" spans="3:16" hidden="1" x14ac:dyDescent="0.2">
      <c r="C37" s="11" t="s">
        <v>37</v>
      </c>
      <c r="D37" s="11" t="str">
        <f t="shared" si="0"/>
        <v/>
      </c>
      <c r="F37" s="11">
        <v>15</v>
      </c>
      <c r="G37" s="11">
        <f t="shared" si="1"/>
        <v>15</v>
      </c>
      <c r="I37" s="11">
        <v>4.1900000000000004</v>
      </c>
      <c r="J37" s="11">
        <f t="shared" si="2"/>
        <v>4.1900000000000004</v>
      </c>
      <c r="L37" s="11">
        <v>3</v>
      </c>
      <c r="M37" s="11">
        <f t="shared" si="3"/>
        <v>3</v>
      </c>
      <c r="O37" s="11">
        <v>769.19</v>
      </c>
      <c r="P37" s="11">
        <f t="shared" si="4"/>
        <v>769.19</v>
      </c>
    </row>
    <row r="38" spans="3:16" x14ac:dyDescent="0.2">
      <c r="C38" s="11">
        <v>5</v>
      </c>
      <c r="D38" s="11">
        <f t="shared" si="0"/>
        <v>5</v>
      </c>
      <c r="F38" s="11">
        <v>20</v>
      </c>
      <c r="G38" s="11">
        <f t="shared" si="1"/>
        <v>20</v>
      </c>
      <c r="I38" s="11">
        <v>11.25</v>
      </c>
      <c r="J38" s="11">
        <f t="shared" si="2"/>
        <v>11.25</v>
      </c>
      <c r="L38" s="11">
        <v>3</v>
      </c>
      <c r="M38" s="11">
        <f t="shared" si="3"/>
        <v>3</v>
      </c>
      <c r="O38" s="11">
        <v>891.25</v>
      </c>
      <c r="P38" s="11">
        <f t="shared" si="4"/>
        <v>891.25</v>
      </c>
    </row>
    <row r="39" spans="3:16" x14ac:dyDescent="0.2">
      <c r="C39" s="11">
        <v>5</v>
      </c>
      <c r="D39" s="11">
        <f t="shared" si="0"/>
        <v>5</v>
      </c>
      <c r="F39" s="11">
        <v>10</v>
      </c>
      <c r="G39" s="11">
        <f t="shared" si="1"/>
        <v>10</v>
      </c>
      <c r="I39" s="11">
        <v>9.76</v>
      </c>
      <c r="J39" s="11">
        <f t="shared" si="2"/>
        <v>9.76</v>
      </c>
      <c r="L39" s="11">
        <v>5</v>
      </c>
      <c r="M39" s="11">
        <f t="shared" si="3"/>
        <v>5</v>
      </c>
      <c r="O39" s="11">
        <v>4059.76</v>
      </c>
      <c r="P39" s="11">
        <f t="shared" si="4"/>
        <v>4059.76</v>
      </c>
    </row>
    <row r="40" spans="3:16" x14ac:dyDescent="0.2">
      <c r="C40" s="11">
        <v>8</v>
      </c>
      <c r="D40" s="11">
        <f t="shared" si="0"/>
        <v>8</v>
      </c>
      <c r="F40" s="11">
        <v>15</v>
      </c>
      <c r="G40" s="11">
        <f t="shared" si="1"/>
        <v>15</v>
      </c>
      <c r="I40" s="11">
        <v>19.45</v>
      </c>
      <c r="J40" s="11">
        <f t="shared" si="2"/>
        <v>19.45</v>
      </c>
      <c r="L40" s="11">
        <v>1</v>
      </c>
      <c r="M40" s="11">
        <f t="shared" si="3"/>
        <v>1</v>
      </c>
      <c r="O40" s="11">
        <v>1039.45</v>
      </c>
      <c r="P40" s="11">
        <f t="shared" si="4"/>
        <v>1039.45</v>
      </c>
    </row>
    <row r="41" spans="3:16" x14ac:dyDescent="0.2">
      <c r="C41" s="11">
        <v>6</v>
      </c>
      <c r="D41" s="11">
        <f t="shared" si="0"/>
        <v>6</v>
      </c>
      <c r="F41" s="11">
        <v>20</v>
      </c>
      <c r="G41" s="11">
        <f t="shared" si="1"/>
        <v>20</v>
      </c>
      <c r="I41" s="11">
        <v>9.0399999999999991</v>
      </c>
      <c r="J41" s="11">
        <f t="shared" si="2"/>
        <v>9.0399999999999991</v>
      </c>
      <c r="L41" s="11">
        <v>3</v>
      </c>
      <c r="M41" s="11">
        <f t="shared" si="3"/>
        <v>3</v>
      </c>
      <c r="O41" s="11">
        <v>4329.04</v>
      </c>
      <c r="P41" s="11">
        <f t="shared" si="4"/>
        <v>4329.04</v>
      </c>
    </row>
    <row r="42" spans="3:16" x14ac:dyDescent="0.2">
      <c r="C42" s="11">
        <v>1</v>
      </c>
      <c r="D42" s="11">
        <f t="shared" si="0"/>
        <v>1</v>
      </c>
      <c r="F42" s="11">
        <v>10</v>
      </c>
      <c r="G42" s="11">
        <f t="shared" si="1"/>
        <v>10</v>
      </c>
      <c r="I42" s="11">
        <v>17.96</v>
      </c>
      <c r="J42" s="11">
        <f t="shared" si="2"/>
        <v>17.96</v>
      </c>
      <c r="L42" s="11">
        <v>2</v>
      </c>
      <c r="M42" s="11">
        <f t="shared" si="3"/>
        <v>2</v>
      </c>
      <c r="O42" s="11">
        <v>1097.96</v>
      </c>
      <c r="P42" s="11">
        <f t="shared" si="4"/>
        <v>1097.96</v>
      </c>
    </row>
    <row r="43" spans="3:16" x14ac:dyDescent="0.2">
      <c r="C43" s="11">
        <v>1</v>
      </c>
      <c r="D43" s="11">
        <f t="shared" si="0"/>
        <v>1</v>
      </c>
      <c r="F43" s="11">
        <v>20</v>
      </c>
      <c r="G43" s="11">
        <f t="shared" si="1"/>
        <v>20</v>
      </c>
      <c r="I43" s="11">
        <v>10.49</v>
      </c>
      <c r="J43" s="11">
        <f t="shared" si="2"/>
        <v>10.49</v>
      </c>
      <c r="L43" s="11">
        <v>5</v>
      </c>
      <c r="M43" s="11">
        <f t="shared" si="3"/>
        <v>5</v>
      </c>
      <c r="O43" s="11">
        <v>730.49</v>
      </c>
      <c r="P43" s="11">
        <f t="shared" si="4"/>
        <v>730.49</v>
      </c>
    </row>
    <row r="44" spans="3:16" hidden="1" x14ac:dyDescent="0.2">
      <c r="C44" s="11" t="s">
        <v>37</v>
      </c>
      <c r="D44" s="11" t="str">
        <f t="shared" si="0"/>
        <v/>
      </c>
      <c r="F44" s="11">
        <v>10</v>
      </c>
      <c r="G44" s="11">
        <f t="shared" si="1"/>
        <v>10</v>
      </c>
      <c r="I44" s="11">
        <v>6.12</v>
      </c>
      <c r="J44" s="11">
        <f t="shared" si="2"/>
        <v>6.12</v>
      </c>
      <c r="L44" s="11">
        <v>3</v>
      </c>
      <c r="M44" s="11">
        <f t="shared" si="3"/>
        <v>3</v>
      </c>
      <c r="O44" s="11">
        <v>3066.12</v>
      </c>
      <c r="P44" s="11">
        <f t="shared" si="4"/>
        <v>3066.12</v>
      </c>
    </row>
    <row r="45" spans="3:16" hidden="1" x14ac:dyDescent="0.2">
      <c r="C45" s="11" t="s">
        <v>37</v>
      </c>
      <c r="D45" s="11" t="str">
        <f t="shared" si="0"/>
        <v/>
      </c>
      <c r="F45" s="11">
        <v>15</v>
      </c>
      <c r="G45" s="11">
        <f t="shared" si="1"/>
        <v>15</v>
      </c>
      <c r="I45" s="11">
        <v>16.32</v>
      </c>
      <c r="J45" s="11">
        <f t="shared" si="2"/>
        <v>16.32</v>
      </c>
      <c r="L45" s="11">
        <v>4</v>
      </c>
      <c r="M45" s="11">
        <f t="shared" si="3"/>
        <v>4</v>
      </c>
      <c r="O45" s="11">
        <v>143.82</v>
      </c>
      <c r="P45" s="11">
        <f t="shared" si="4"/>
        <v>143.82</v>
      </c>
    </row>
    <row r="46" spans="3:16" hidden="1" x14ac:dyDescent="0.2">
      <c r="C46" s="11">
        <v>8</v>
      </c>
      <c r="D46" s="11">
        <f t="shared" si="0"/>
        <v>8</v>
      </c>
      <c r="F46" s="11">
        <v>20</v>
      </c>
      <c r="G46" s="11">
        <f t="shared" si="1"/>
        <v>20</v>
      </c>
      <c r="I46" s="11">
        <v>12.81</v>
      </c>
      <c r="J46" s="11">
        <f t="shared" si="2"/>
        <v>12.81</v>
      </c>
      <c r="M46" s="11">
        <f t="shared" si="3"/>
        <v>0</v>
      </c>
      <c r="O46" s="11">
        <v>1420.81</v>
      </c>
      <c r="P46" s="11">
        <f t="shared" si="4"/>
        <v>1420.81</v>
      </c>
    </row>
    <row r="47" spans="3:16" x14ac:dyDescent="0.2">
      <c r="C47" s="11">
        <v>2</v>
      </c>
      <c r="D47" s="11">
        <f t="shared" si="0"/>
        <v>2</v>
      </c>
      <c r="F47" s="11">
        <v>10</v>
      </c>
      <c r="G47" s="11">
        <f t="shared" si="1"/>
        <v>10</v>
      </c>
      <c r="I47" s="11">
        <v>3.22</v>
      </c>
      <c r="J47" s="11">
        <f t="shared" si="2"/>
        <v>3.22</v>
      </c>
      <c r="L47" s="11">
        <v>2</v>
      </c>
      <c r="M47" s="11">
        <f t="shared" si="3"/>
        <v>2</v>
      </c>
      <c r="O47" s="11">
        <v>2163.2199999999998</v>
      </c>
      <c r="P47" s="11">
        <f t="shared" si="4"/>
        <v>2163.2199999999998</v>
      </c>
    </row>
    <row r="48" spans="3:16" hidden="1" x14ac:dyDescent="0.2">
      <c r="C48" s="11">
        <v>3</v>
      </c>
      <c r="D48" s="11">
        <f t="shared" si="0"/>
        <v>3</v>
      </c>
      <c r="F48" s="11">
        <v>15</v>
      </c>
      <c r="G48" s="11">
        <f t="shared" si="1"/>
        <v>15</v>
      </c>
      <c r="I48" s="11">
        <v>13.17</v>
      </c>
      <c r="J48" s="11">
        <f t="shared" si="2"/>
        <v>13.17</v>
      </c>
      <c r="M48" s="11">
        <f t="shared" si="3"/>
        <v>0</v>
      </c>
      <c r="O48" s="11">
        <v>3073.17</v>
      </c>
      <c r="P48" s="11">
        <f t="shared" si="4"/>
        <v>3073.17</v>
      </c>
    </row>
    <row r="49" spans="3:16" hidden="1" x14ac:dyDescent="0.2">
      <c r="C49" s="11" t="s">
        <v>37</v>
      </c>
      <c r="D49" s="11" t="str">
        <f t="shared" si="0"/>
        <v/>
      </c>
      <c r="F49" s="11">
        <v>10</v>
      </c>
      <c r="G49" s="11">
        <f t="shared" si="1"/>
        <v>10</v>
      </c>
      <c r="I49" s="11">
        <v>11.88</v>
      </c>
      <c r="J49" s="11">
        <f t="shared" si="2"/>
        <v>11.88</v>
      </c>
      <c r="L49" s="11">
        <v>5</v>
      </c>
      <c r="M49" s="11">
        <f t="shared" si="3"/>
        <v>5</v>
      </c>
      <c r="O49" s="11">
        <v>2441.88</v>
      </c>
      <c r="P49" s="11">
        <f t="shared" si="4"/>
        <v>2441.88</v>
      </c>
    </row>
    <row r="50" spans="3:16" hidden="1" x14ac:dyDescent="0.2">
      <c r="C50" s="11">
        <v>8</v>
      </c>
      <c r="D50" s="11">
        <f t="shared" si="0"/>
        <v>8</v>
      </c>
      <c r="F50" s="11">
        <v>20</v>
      </c>
      <c r="G50" s="11">
        <f t="shared" si="1"/>
        <v>20</v>
      </c>
      <c r="I50" s="11">
        <v>13.34</v>
      </c>
      <c r="J50" s="11">
        <f t="shared" si="2"/>
        <v>13.34</v>
      </c>
      <c r="M50" s="11">
        <f t="shared" si="3"/>
        <v>0</v>
      </c>
      <c r="O50" s="11">
        <v>7693.34</v>
      </c>
      <c r="P50" s="11">
        <f t="shared" si="4"/>
        <v>7693.34</v>
      </c>
    </row>
    <row r="51" spans="3:16" x14ac:dyDescent="0.2">
      <c r="C51" s="11">
        <v>2</v>
      </c>
      <c r="D51" s="11">
        <f t="shared" si="0"/>
        <v>2</v>
      </c>
      <c r="F51" s="11">
        <v>20</v>
      </c>
      <c r="G51" s="11">
        <f t="shared" si="1"/>
        <v>20</v>
      </c>
      <c r="I51" s="11">
        <v>8.24</v>
      </c>
      <c r="J51" s="11">
        <f t="shared" si="2"/>
        <v>8.24</v>
      </c>
      <c r="L51" s="11">
        <v>1</v>
      </c>
      <c r="M51" s="11">
        <f t="shared" si="3"/>
        <v>1</v>
      </c>
      <c r="O51" s="11">
        <v>1448.24</v>
      </c>
      <c r="P51" s="11">
        <f t="shared" si="4"/>
        <v>1448.24</v>
      </c>
    </row>
    <row r="52" spans="3:16" x14ac:dyDescent="0.2">
      <c r="C52" s="11">
        <v>9</v>
      </c>
      <c r="D52" s="11">
        <f t="shared" si="0"/>
        <v>9</v>
      </c>
      <c r="F52" s="11">
        <v>5</v>
      </c>
      <c r="G52" s="11">
        <f t="shared" si="1"/>
        <v>5</v>
      </c>
      <c r="I52" s="11">
        <v>5.4</v>
      </c>
      <c r="J52" s="11">
        <f t="shared" si="2"/>
        <v>5.4</v>
      </c>
      <c r="L52" s="11">
        <v>5</v>
      </c>
      <c r="M52" s="11">
        <f t="shared" si="3"/>
        <v>5</v>
      </c>
      <c r="O52" s="11">
        <v>1287.9000000000001</v>
      </c>
      <c r="P52" s="11">
        <f t="shared" si="4"/>
        <v>1287.9000000000001</v>
      </c>
    </row>
    <row r="53" spans="3:16" x14ac:dyDescent="0.2">
      <c r="C53" s="11">
        <v>8</v>
      </c>
      <c r="D53" s="11">
        <f t="shared" si="0"/>
        <v>8</v>
      </c>
      <c r="F53" s="11">
        <v>5</v>
      </c>
      <c r="G53" s="11">
        <f t="shared" si="1"/>
        <v>5</v>
      </c>
      <c r="I53" s="11">
        <v>6.29</v>
      </c>
      <c r="J53" s="11">
        <f t="shared" si="2"/>
        <v>6.29</v>
      </c>
      <c r="L53" s="11">
        <v>1</v>
      </c>
      <c r="M53" s="11">
        <f t="shared" si="3"/>
        <v>1</v>
      </c>
      <c r="O53" s="11">
        <v>1678.29</v>
      </c>
      <c r="P53" s="11">
        <f t="shared" si="4"/>
        <v>1678.29</v>
      </c>
    </row>
    <row r="54" spans="3:16" x14ac:dyDescent="0.2">
      <c r="C54" s="11">
        <v>10</v>
      </c>
      <c r="D54" s="11">
        <f t="shared" si="0"/>
        <v>10</v>
      </c>
      <c r="F54" s="11">
        <v>5</v>
      </c>
      <c r="G54" s="11">
        <f t="shared" si="1"/>
        <v>5</v>
      </c>
      <c r="I54" s="11">
        <v>3.96</v>
      </c>
      <c r="J54" s="11">
        <f t="shared" si="2"/>
        <v>3.96</v>
      </c>
      <c r="L54" s="11">
        <v>5</v>
      </c>
      <c r="M54" s="11">
        <f t="shared" si="3"/>
        <v>5</v>
      </c>
      <c r="O54" s="11">
        <v>1428.96</v>
      </c>
      <c r="P54" s="11">
        <f t="shared" si="4"/>
        <v>1428.96</v>
      </c>
    </row>
    <row r="55" spans="3:16" hidden="1" x14ac:dyDescent="0.2">
      <c r="C55" s="11" t="s">
        <v>37</v>
      </c>
      <c r="D55" s="11" t="str">
        <f t="shared" si="0"/>
        <v/>
      </c>
      <c r="F55" s="11">
        <v>5</v>
      </c>
      <c r="G55" s="11">
        <f t="shared" si="1"/>
        <v>5</v>
      </c>
      <c r="I55" s="11">
        <v>13.2</v>
      </c>
      <c r="J55" s="11">
        <f t="shared" si="2"/>
        <v>13.2</v>
      </c>
      <c r="M55" s="11">
        <f t="shared" si="3"/>
        <v>0</v>
      </c>
      <c r="O55" s="11">
        <v>7993.2</v>
      </c>
      <c r="P55" s="11">
        <f t="shared" si="4"/>
        <v>7993.2</v>
      </c>
    </row>
    <row r="56" spans="3:16" hidden="1" x14ac:dyDescent="0.2">
      <c r="C56" s="11" t="s">
        <v>37</v>
      </c>
      <c r="D56" s="11" t="str">
        <f t="shared" si="0"/>
        <v/>
      </c>
      <c r="F56" s="11">
        <v>15</v>
      </c>
      <c r="G56" s="11">
        <f t="shared" si="1"/>
        <v>15</v>
      </c>
      <c r="I56" s="11">
        <v>7.84</v>
      </c>
      <c r="J56" s="11">
        <f t="shared" si="2"/>
        <v>7.84</v>
      </c>
      <c r="M56" s="11">
        <f t="shared" si="3"/>
        <v>0</v>
      </c>
      <c r="O56" s="11">
        <v>1155.3399999999999</v>
      </c>
      <c r="P56" s="11">
        <f t="shared" si="4"/>
        <v>1155.3399999999999</v>
      </c>
    </row>
    <row r="57" spans="3:16" x14ac:dyDescent="0.2">
      <c r="C57" s="11">
        <v>9</v>
      </c>
      <c r="D57" s="11">
        <f t="shared" si="0"/>
        <v>9</v>
      </c>
      <c r="F57" s="11">
        <v>5</v>
      </c>
      <c r="G57" s="11">
        <f t="shared" si="1"/>
        <v>5</v>
      </c>
      <c r="I57" s="11">
        <v>16.54</v>
      </c>
      <c r="J57" s="11">
        <f t="shared" si="2"/>
        <v>16.54</v>
      </c>
      <c r="L57" s="11">
        <v>4</v>
      </c>
      <c r="M57" s="11">
        <f t="shared" si="3"/>
        <v>4</v>
      </c>
      <c r="O57" s="11">
        <v>1299.04</v>
      </c>
      <c r="P57" s="11">
        <f t="shared" si="4"/>
        <v>1299.04</v>
      </c>
    </row>
    <row r="58" spans="3:16" x14ac:dyDescent="0.2">
      <c r="C58" s="11">
        <v>7</v>
      </c>
      <c r="D58" s="11">
        <f t="shared" si="0"/>
        <v>7</v>
      </c>
      <c r="F58" s="11">
        <v>10</v>
      </c>
      <c r="G58" s="11">
        <f t="shared" si="1"/>
        <v>10</v>
      </c>
      <c r="I58" s="11">
        <v>14.97</v>
      </c>
      <c r="J58" s="11">
        <f t="shared" si="2"/>
        <v>14.97</v>
      </c>
      <c r="L58" s="11">
        <v>4</v>
      </c>
      <c r="M58" s="11">
        <f t="shared" si="3"/>
        <v>4</v>
      </c>
      <c r="O58" s="11">
        <v>2156.9699999999998</v>
      </c>
      <c r="P58" s="11">
        <f t="shared" si="4"/>
        <v>2156.9699999999998</v>
      </c>
    </row>
    <row r="59" spans="3:16" hidden="1" x14ac:dyDescent="0.2">
      <c r="C59" s="11" t="s">
        <v>37</v>
      </c>
      <c r="D59" s="11" t="str">
        <f t="shared" si="0"/>
        <v/>
      </c>
      <c r="F59" s="11">
        <v>10</v>
      </c>
      <c r="G59" s="11">
        <f t="shared" si="1"/>
        <v>10</v>
      </c>
      <c r="I59" s="11">
        <v>10.23</v>
      </c>
      <c r="J59" s="11">
        <f t="shared" si="2"/>
        <v>10.23</v>
      </c>
      <c r="L59" s="11">
        <v>3</v>
      </c>
      <c r="M59" s="11">
        <f t="shared" si="3"/>
        <v>3</v>
      </c>
      <c r="O59" s="11">
        <v>955.23</v>
      </c>
      <c r="P59" s="11">
        <f t="shared" si="4"/>
        <v>955.23</v>
      </c>
    </row>
    <row r="60" spans="3:16" x14ac:dyDescent="0.2">
      <c r="C60" s="11">
        <v>9</v>
      </c>
      <c r="D60" s="11">
        <f t="shared" si="0"/>
        <v>9</v>
      </c>
      <c r="F60" s="11">
        <v>0</v>
      </c>
      <c r="G60" s="11">
        <f t="shared" si="1"/>
        <v>0</v>
      </c>
      <c r="I60" s="11">
        <v>18.440000000000001</v>
      </c>
      <c r="J60" s="11">
        <f t="shared" si="2"/>
        <v>18.440000000000001</v>
      </c>
      <c r="L60" s="11">
        <v>1</v>
      </c>
      <c r="M60" s="11">
        <f t="shared" si="3"/>
        <v>1</v>
      </c>
      <c r="O60" s="11">
        <v>10818.44</v>
      </c>
      <c r="P60" s="11">
        <f t="shared" si="4"/>
        <v>10818.44</v>
      </c>
    </row>
    <row r="61" spans="3:16" hidden="1" x14ac:dyDescent="0.2">
      <c r="C61" s="11" t="s">
        <v>37</v>
      </c>
      <c r="D61" s="11" t="str">
        <f t="shared" si="0"/>
        <v/>
      </c>
      <c r="F61" s="11">
        <v>10</v>
      </c>
      <c r="G61" s="11">
        <f t="shared" si="1"/>
        <v>10</v>
      </c>
      <c r="I61" s="11">
        <v>19.82</v>
      </c>
      <c r="J61" s="11">
        <f t="shared" si="2"/>
        <v>19.82</v>
      </c>
      <c r="L61" s="11">
        <v>3</v>
      </c>
      <c r="M61" s="11">
        <f t="shared" si="3"/>
        <v>3</v>
      </c>
      <c r="O61" s="11">
        <v>829.82</v>
      </c>
      <c r="P61" s="11">
        <f t="shared" si="4"/>
        <v>829.82</v>
      </c>
    </row>
    <row r="62" spans="3:16" x14ac:dyDescent="0.2">
      <c r="C62" s="11">
        <v>3</v>
      </c>
      <c r="D62" s="11">
        <f t="shared" si="0"/>
        <v>3</v>
      </c>
      <c r="F62" s="11">
        <v>20</v>
      </c>
      <c r="G62" s="11">
        <f t="shared" si="1"/>
        <v>20</v>
      </c>
      <c r="I62" s="11">
        <v>13.55</v>
      </c>
      <c r="J62" s="11">
        <f t="shared" si="2"/>
        <v>13.55</v>
      </c>
      <c r="L62" s="11">
        <v>5</v>
      </c>
      <c r="M62" s="11">
        <f t="shared" si="3"/>
        <v>5</v>
      </c>
      <c r="O62" s="11">
        <v>829.55</v>
      </c>
      <c r="P62" s="11">
        <f t="shared" si="4"/>
        <v>829.55</v>
      </c>
    </row>
    <row r="63" spans="3:16" x14ac:dyDescent="0.2">
      <c r="C63" s="11">
        <v>3</v>
      </c>
      <c r="D63" s="11">
        <f t="shared" si="0"/>
        <v>3</v>
      </c>
      <c r="F63" s="11">
        <v>0</v>
      </c>
      <c r="G63" s="11">
        <f t="shared" si="1"/>
        <v>0</v>
      </c>
      <c r="I63" s="11">
        <v>3.11</v>
      </c>
      <c r="J63" s="11">
        <f t="shared" si="2"/>
        <v>3.11</v>
      </c>
      <c r="L63" s="11">
        <v>5</v>
      </c>
      <c r="M63" s="11">
        <f t="shared" si="3"/>
        <v>5</v>
      </c>
      <c r="O63" s="11">
        <v>1023.11</v>
      </c>
      <c r="P63" s="11">
        <f t="shared" si="4"/>
        <v>1023.11</v>
      </c>
    </row>
    <row r="64" spans="3:16" hidden="1" x14ac:dyDescent="0.2">
      <c r="C64" s="11" t="s">
        <v>37</v>
      </c>
      <c r="D64" s="11" t="str">
        <f t="shared" si="0"/>
        <v/>
      </c>
      <c r="F64" s="11">
        <v>5</v>
      </c>
      <c r="G64" s="11">
        <f t="shared" si="1"/>
        <v>5</v>
      </c>
      <c r="I64" s="11">
        <v>3.6</v>
      </c>
      <c r="J64" s="11">
        <f t="shared" si="2"/>
        <v>3.6</v>
      </c>
      <c r="L64" s="11">
        <v>2</v>
      </c>
      <c r="M64" s="11">
        <f t="shared" si="3"/>
        <v>2</v>
      </c>
      <c r="O64" s="11">
        <v>1884.6</v>
      </c>
      <c r="P64" s="11">
        <f t="shared" si="4"/>
        <v>1884.6</v>
      </c>
    </row>
    <row r="65" spans="3:16" x14ac:dyDescent="0.2">
      <c r="C65" s="11">
        <v>5</v>
      </c>
      <c r="D65" s="11">
        <f t="shared" si="0"/>
        <v>5</v>
      </c>
      <c r="F65" s="11">
        <v>10</v>
      </c>
      <c r="G65" s="11">
        <f t="shared" si="1"/>
        <v>10</v>
      </c>
      <c r="I65" s="11">
        <v>19.149999999999999</v>
      </c>
      <c r="J65" s="11">
        <f t="shared" si="2"/>
        <v>19.149999999999999</v>
      </c>
      <c r="L65" s="11">
        <v>1</v>
      </c>
      <c r="M65" s="11">
        <f t="shared" si="3"/>
        <v>1</v>
      </c>
      <c r="O65" s="11">
        <v>1009.15</v>
      </c>
      <c r="P65" s="11">
        <f t="shared" si="4"/>
        <v>1009.15</v>
      </c>
    </row>
    <row r="66" spans="3:16" x14ac:dyDescent="0.2">
      <c r="C66" s="11">
        <v>4</v>
      </c>
      <c r="D66" s="11">
        <f t="shared" si="0"/>
        <v>4</v>
      </c>
      <c r="F66" s="11">
        <v>0</v>
      </c>
      <c r="G66" s="11">
        <f t="shared" si="1"/>
        <v>0</v>
      </c>
      <c r="I66" s="11">
        <v>11.97</v>
      </c>
      <c r="J66" s="11">
        <f t="shared" si="2"/>
        <v>11.97</v>
      </c>
      <c r="L66" s="11">
        <v>3</v>
      </c>
      <c r="M66" s="11">
        <f t="shared" si="3"/>
        <v>3</v>
      </c>
      <c r="O66" s="11">
        <v>4811.97</v>
      </c>
      <c r="P66" s="11">
        <f t="shared" si="4"/>
        <v>4811.97</v>
      </c>
    </row>
    <row r="67" spans="3:16" x14ac:dyDescent="0.2">
      <c r="C67" s="11">
        <v>1</v>
      </c>
      <c r="D67" s="11">
        <f t="shared" ref="D67:D101" si="5">IFERROR(VALUE(C67),"")</f>
        <v>1</v>
      </c>
      <c r="F67" s="11">
        <v>0</v>
      </c>
      <c r="G67" s="11">
        <f t="shared" ref="G67:G101" si="6">IFERROR(VALUE(F67),"")</f>
        <v>0</v>
      </c>
      <c r="I67" s="11">
        <v>8.35</v>
      </c>
      <c r="J67" s="11">
        <f t="shared" ref="J67:J101" si="7">IFERROR(VALUE(I67),"")</f>
        <v>8.35</v>
      </c>
      <c r="L67" s="11">
        <v>5</v>
      </c>
      <c r="M67" s="11">
        <f t="shared" ref="M67:M101" si="8">IFERROR(VALUE(L67),"")</f>
        <v>5</v>
      </c>
      <c r="O67" s="11">
        <v>158.35</v>
      </c>
      <c r="P67" s="11">
        <f t="shared" ref="P67:P101" si="9">IFERROR(VALUE(O67),"")</f>
        <v>158.35</v>
      </c>
    </row>
    <row r="68" spans="3:16" hidden="1" x14ac:dyDescent="0.2">
      <c r="C68" s="11" t="s">
        <v>37</v>
      </c>
      <c r="D68" s="11" t="str">
        <f t="shared" si="5"/>
        <v/>
      </c>
      <c r="F68" s="11">
        <v>5</v>
      </c>
      <c r="G68" s="11">
        <f t="shared" si="6"/>
        <v>5</v>
      </c>
      <c r="I68" s="11">
        <v>4.32</v>
      </c>
      <c r="J68" s="11">
        <f t="shared" si="7"/>
        <v>4.32</v>
      </c>
      <c r="L68" s="11">
        <v>4</v>
      </c>
      <c r="M68" s="11">
        <f t="shared" si="8"/>
        <v>4</v>
      </c>
      <c r="O68" s="11">
        <v>10264.32</v>
      </c>
      <c r="P68" s="11">
        <f t="shared" si="9"/>
        <v>10264.32</v>
      </c>
    </row>
    <row r="69" spans="3:16" x14ac:dyDescent="0.2">
      <c r="C69" s="11">
        <v>2</v>
      </c>
      <c r="D69" s="11">
        <f t="shared" si="5"/>
        <v>2</v>
      </c>
      <c r="F69" s="11">
        <v>0</v>
      </c>
      <c r="G69" s="11">
        <f t="shared" si="6"/>
        <v>0</v>
      </c>
      <c r="I69" s="11">
        <v>10.68</v>
      </c>
      <c r="J69" s="11">
        <f t="shared" si="7"/>
        <v>10.68</v>
      </c>
      <c r="L69" s="11">
        <v>4</v>
      </c>
      <c r="M69" s="11">
        <f t="shared" si="8"/>
        <v>4</v>
      </c>
      <c r="O69" s="11">
        <v>1810.68</v>
      </c>
      <c r="P69" s="11">
        <f t="shared" si="9"/>
        <v>1810.68</v>
      </c>
    </row>
    <row r="70" spans="3:16" hidden="1" x14ac:dyDescent="0.2">
      <c r="C70" s="11" t="s">
        <v>37</v>
      </c>
      <c r="D70" s="11" t="str">
        <f t="shared" si="5"/>
        <v/>
      </c>
      <c r="F70" s="11">
        <v>0</v>
      </c>
      <c r="G70" s="11">
        <f t="shared" si="6"/>
        <v>0</v>
      </c>
      <c r="I70" s="11">
        <v>14.48</v>
      </c>
      <c r="J70" s="11">
        <f t="shared" si="7"/>
        <v>14.48</v>
      </c>
      <c r="L70" s="11">
        <v>4</v>
      </c>
      <c r="M70" s="11">
        <f t="shared" si="8"/>
        <v>4</v>
      </c>
      <c r="O70" s="11">
        <v>764.48</v>
      </c>
      <c r="P70" s="11">
        <f t="shared" si="9"/>
        <v>764.48</v>
      </c>
    </row>
    <row r="71" spans="3:16" x14ac:dyDescent="0.2">
      <c r="C71" s="11">
        <v>8</v>
      </c>
      <c r="D71" s="11">
        <f t="shared" si="5"/>
        <v>8</v>
      </c>
      <c r="F71" s="11">
        <v>15</v>
      </c>
      <c r="G71" s="11">
        <f t="shared" si="6"/>
        <v>15</v>
      </c>
      <c r="I71" s="11">
        <v>11.53</v>
      </c>
      <c r="J71" s="11">
        <f t="shared" si="7"/>
        <v>11.53</v>
      </c>
      <c r="L71" s="11">
        <v>2</v>
      </c>
      <c r="M71" s="11">
        <f t="shared" si="8"/>
        <v>2</v>
      </c>
      <c r="O71" s="11">
        <v>1507.53</v>
      </c>
      <c r="P71" s="11">
        <f t="shared" si="9"/>
        <v>1507.53</v>
      </c>
    </row>
    <row r="72" spans="3:16" x14ac:dyDescent="0.2">
      <c r="C72" s="11">
        <v>6</v>
      </c>
      <c r="D72" s="11">
        <f t="shared" si="5"/>
        <v>6</v>
      </c>
      <c r="F72" s="11">
        <v>15</v>
      </c>
      <c r="G72" s="11">
        <f t="shared" si="6"/>
        <v>15</v>
      </c>
      <c r="I72" s="11">
        <v>9.2100000000000009</v>
      </c>
      <c r="J72" s="11">
        <f t="shared" si="7"/>
        <v>9.2100000000000009</v>
      </c>
      <c r="L72" s="11">
        <v>4</v>
      </c>
      <c r="M72" s="11">
        <f t="shared" si="8"/>
        <v>4</v>
      </c>
      <c r="O72" s="11">
        <v>774.21</v>
      </c>
      <c r="P72" s="11">
        <f t="shared" si="9"/>
        <v>774.21</v>
      </c>
    </row>
    <row r="73" spans="3:16" hidden="1" x14ac:dyDescent="0.2">
      <c r="C73" s="11">
        <v>8</v>
      </c>
      <c r="D73" s="11">
        <f t="shared" si="5"/>
        <v>8</v>
      </c>
      <c r="F73" s="11">
        <v>10</v>
      </c>
      <c r="G73" s="11">
        <f t="shared" si="6"/>
        <v>10</v>
      </c>
      <c r="I73" s="11">
        <v>17.809999999999999</v>
      </c>
      <c r="J73" s="11">
        <f t="shared" si="7"/>
        <v>17.809999999999999</v>
      </c>
      <c r="M73" s="11">
        <f t="shared" si="8"/>
        <v>0</v>
      </c>
      <c r="O73" s="11">
        <v>6497.81</v>
      </c>
      <c r="P73" s="11">
        <f t="shared" si="9"/>
        <v>6497.81</v>
      </c>
    </row>
    <row r="74" spans="3:16" x14ac:dyDescent="0.2">
      <c r="C74" s="11">
        <v>6</v>
      </c>
      <c r="D74" s="11">
        <f t="shared" si="5"/>
        <v>6</v>
      </c>
      <c r="F74" s="11">
        <v>10</v>
      </c>
      <c r="G74" s="11">
        <f t="shared" si="6"/>
        <v>10</v>
      </c>
      <c r="I74" s="11">
        <v>11.66</v>
      </c>
      <c r="J74" s="11">
        <f t="shared" si="7"/>
        <v>11.66</v>
      </c>
      <c r="L74" s="11">
        <v>5</v>
      </c>
      <c r="M74" s="11">
        <f t="shared" si="8"/>
        <v>5</v>
      </c>
      <c r="O74" s="11">
        <v>821.66</v>
      </c>
      <c r="P74" s="11">
        <f t="shared" si="9"/>
        <v>821.66</v>
      </c>
    </row>
    <row r="75" spans="3:16" hidden="1" x14ac:dyDescent="0.2">
      <c r="C75" s="11" t="s">
        <v>37</v>
      </c>
      <c r="D75" s="11" t="str">
        <f t="shared" si="5"/>
        <v/>
      </c>
      <c r="F75" s="11">
        <v>5</v>
      </c>
      <c r="G75" s="11">
        <f t="shared" si="6"/>
        <v>5</v>
      </c>
      <c r="I75" s="11">
        <v>6.81</v>
      </c>
      <c r="J75" s="11">
        <f t="shared" si="7"/>
        <v>6.81</v>
      </c>
      <c r="M75" s="11">
        <f t="shared" si="8"/>
        <v>0</v>
      </c>
      <c r="O75" s="11">
        <v>7986.81</v>
      </c>
      <c r="P75" s="11">
        <f t="shared" si="9"/>
        <v>7986.81</v>
      </c>
    </row>
    <row r="76" spans="3:16" hidden="1" x14ac:dyDescent="0.2">
      <c r="C76" s="11" t="s">
        <v>37</v>
      </c>
      <c r="D76" s="11" t="str">
        <f t="shared" si="5"/>
        <v/>
      </c>
      <c r="F76" s="11">
        <v>10</v>
      </c>
      <c r="G76" s="11">
        <f t="shared" si="6"/>
        <v>10</v>
      </c>
      <c r="I76" s="11">
        <v>3.67</v>
      </c>
      <c r="J76" s="11">
        <f t="shared" si="7"/>
        <v>3.67</v>
      </c>
      <c r="M76" s="11">
        <f t="shared" si="8"/>
        <v>0</v>
      </c>
      <c r="O76" s="11">
        <v>2433.67</v>
      </c>
      <c r="P76" s="11">
        <f t="shared" si="9"/>
        <v>2433.67</v>
      </c>
    </row>
    <row r="77" spans="3:16" x14ac:dyDescent="0.2">
      <c r="C77" s="11">
        <v>5</v>
      </c>
      <c r="D77" s="11">
        <f t="shared" si="5"/>
        <v>5</v>
      </c>
      <c r="F77" s="11">
        <v>20</v>
      </c>
      <c r="G77" s="11">
        <f t="shared" si="6"/>
        <v>20</v>
      </c>
      <c r="I77" s="11">
        <v>7.61</v>
      </c>
      <c r="J77" s="11">
        <f t="shared" si="7"/>
        <v>7.61</v>
      </c>
      <c r="L77" s="11">
        <v>1</v>
      </c>
      <c r="M77" s="11">
        <f t="shared" si="8"/>
        <v>1</v>
      </c>
      <c r="O77" s="11">
        <v>4807.6099999999997</v>
      </c>
      <c r="P77" s="11">
        <f t="shared" si="9"/>
        <v>4807.6099999999997</v>
      </c>
    </row>
    <row r="78" spans="3:16" hidden="1" x14ac:dyDescent="0.2">
      <c r="C78" s="11" t="s">
        <v>37</v>
      </c>
      <c r="D78" s="11" t="str">
        <f t="shared" si="5"/>
        <v/>
      </c>
      <c r="F78" s="11">
        <v>5</v>
      </c>
      <c r="G78" s="11">
        <f t="shared" si="6"/>
        <v>5</v>
      </c>
      <c r="I78" s="11">
        <v>14.65</v>
      </c>
      <c r="J78" s="11">
        <f t="shared" si="7"/>
        <v>14.65</v>
      </c>
      <c r="L78" s="11">
        <v>4</v>
      </c>
      <c r="M78" s="11">
        <f t="shared" si="8"/>
        <v>4</v>
      </c>
      <c r="O78" s="11">
        <v>11414.65</v>
      </c>
      <c r="P78" s="11">
        <f t="shared" si="9"/>
        <v>11414.65</v>
      </c>
    </row>
    <row r="79" spans="3:16" hidden="1" x14ac:dyDescent="0.2">
      <c r="C79" s="11" t="s">
        <v>37</v>
      </c>
      <c r="D79" s="11" t="str">
        <f t="shared" si="5"/>
        <v/>
      </c>
      <c r="F79" s="11">
        <v>10</v>
      </c>
      <c r="G79" s="11">
        <f t="shared" si="6"/>
        <v>10</v>
      </c>
      <c r="I79" s="11">
        <v>19.78</v>
      </c>
      <c r="J79" s="11">
        <f t="shared" si="7"/>
        <v>19.78</v>
      </c>
      <c r="L79" s="11">
        <v>2</v>
      </c>
      <c r="M79" s="11">
        <f t="shared" si="8"/>
        <v>2</v>
      </c>
      <c r="O79" s="11">
        <v>8659.7800000000007</v>
      </c>
      <c r="P79" s="11">
        <f t="shared" si="9"/>
        <v>8659.7800000000007</v>
      </c>
    </row>
    <row r="80" spans="3:16" x14ac:dyDescent="0.2">
      <c r="C80" s="11">
        <v>3</v>
      </c>
      <c r="D80" s="11">
        <f t="shared" si="5"/>
        <v>3</v>
      </c>
      <c r="F80" s="11">
        <v>0</v>
      </c>
      <c r="G80" s="11">
        <f t="shared" si="6"/>
        <v>0</v>
      </c>
      <c r="I80" s="11">
        <v>3.51</v>
      </c>
      <c r="J80" s="11">
        <f t="shared" si="7"/>
        <v>3.51</v>
      </c>
      <c r="L80" s="11">
        <v>2</v>
      </c>
      <c r="M80" s="11">
        <f t="shared" si="8"/>
        <v>2</v>
      </c>
      <c r="O80" s="11">
        <v>2703.51</v>
      </c>
      <c r="P80" s="11">
        <f t="shared" si="9"/>
        <v>2703.51</v>
      </c>
    </row>
    <row r="81" spans="3:16" hidden="1" x14ac:dyDescent="0.2">
      <c r="C81" s="11" t="s">
        <v>37</v>
      </c>
      <c r="D81" s="11" t="str">
        <f t="shared" si="5"/>
        <v/>
      </c>
      <c r="F81" s="11">
        <v>15</v>
      </c>
      <c r="G81" s="11">
        <f t="shared" si="6"/>
        <v>15</v>
      </c>
      <c r="I81" s="11">
        <v>19.72</v>
      </c>
      <c r="J81" s="11">
        <f t="shared" si="7"/>
        <v>19.72</v>
      </c>
      <c r="L81" s="11">
        <v>2</v>
      </c>
      <c r="M81" s="11">
        <f t="shared" si="8"/>
        <v>2</v>
      </c>
      <c r="O81" s="11">
        <v>657.22</v>
      </c>
      <c r="P81" s="11">
        <f t="shared" si="9"/>
        <v>657.22</v>
      </c>
    </row>
    <row r="82" spans="3:16" hidden="1" x14ac:dyDescent="0.2">
      <c r="C82" s="11" t="s">
        <v>37</v>
      </c>
      <c r="D82" s="11" t="str">
        <f t="shared" si="5"/>
        <v/>
      </c>
      <c r="F82" s="11">
        <v>20</v>
      </c>
      <c r="G82" s="11">
        <f t="shared" si="6"/>
        <v>20</v>
      </c>
      <c r="I82" s="11">
        <v>6.06</v>
      </c>
      <c r="J82" s="11">
        <f t="shared" si="7"/>
        <v>6.06</v>
      </c>
      <c r="L82" s="11">
        <v>5</v>
      </c>
      <c r="M82" s="11">
        <f t="shared" si="8"/>
        <v>5</v>
      </c>
      <c r="O82" s="11">
        <v>2726.06</v>
      </c>
      <c r="P82" s="11">
        <f t="shared" si="9"/>
        <v>2726.06</v>
      </c>
    </row>
    <row r="83" spans="3:16" hidden="1" x14ac:dyDescent="0.2">
      <c r="C83" s="11" t="s">
        <v>37</v>
      </c>
      <c r="D83" s="11" t="str">
        <f t="shared" si="5"/>
        <v/>
      </c>
      <c r="F83" s="11">
        <v>10</v>
      </c>
      <c r="G83" s="11">
        <f t="shared" si="6"/>
        <v>10</v>
      </c>
      <c r="I83" s="11">
        <v>7.57</v>
      </c>
      <c r="J83" s="11">
        <f t="shared" si="7"/>
        <v>7.57</v>
      </c>
      <c r="L83" s="11">
        <v>5</v>
      </c>
      <c r="M83" s="11">
        <f t="shared" si="8"/>
        <v>5</v>
      </c>
      <c r="O83" s="11">
        <v>2149.5700000000002</v>
      </c>
      <c r="P83" s="11">
        <f t="shared" si="9"/>
        <v>2149.5700000000002</v>
      </c>
    </row>
    <row r="84" spans="3:16" hidden="1" x14ac:dyDescent="0.2">
      <c r="C84" s="11">
        <v>6</v>
      </c>
      <c r="D84" s="11">
        <f t="shared" si="5"/>
        <v>6</v>
      </c>
      <c r="F84" s="11">
        <v>10</v>
      </c>
      <c r="G84" s="11">
        <f t="shared" si="6"/>
        <v>10</v>
      </c>
      <c r="I84" s="11">
        <v>15.52</v>
      </c>
      <c r="J84" s="11">
        <f t="shared" si="7"/>
        <v>15.52</v>
      </c>
      <c r="M84" s="11">
        <f t="shared" si="8"/>
        <v>0</v>
      </c>
      <c r="O84" s="11">
        <v>1851.52</v>
      </c>
      <c r="P84" s="11">
        <f t="shared" si="9"/>
        <v>1851.52</v>
      </c>
    </row>
    <row r="85" spans="3:16" x14ac:dyDescent="0.2">
      <c r="C85" s="11">
        <v>1</v>
      </c>
      <c r="D85" s="11">
        <f t="shared" si="5"/>
        <v>1</v>
      </c>
      <c r="F85" s="11">
        <v>20</v>
      </c>
      <c r="G85" s="11">
        <f t="shared" si="6"/>
        <v>20</v>
      </c>
      <c r="I85" s="11">
        <v>11</v>
      </c>
      <c r="J85" s="11">
        <f t="shared" si="7"/>
        <v>11</v>
      </c>
      <c r="L85" s="11">
        <v>5</v>
      </c>
      <c r="M85" s="11">
        <f t="shared" si="8"/>
        <v>5</v>
      </c>
      <c r="O85" s="11">
        <v>283</v>
      </c>
      <c r="P85" s="11">
        <f t="shared" si="9"/>
        <v>283</v>
      </c>
    </row>
    <row r="86" spans="3:16" x14ac:dyDescent="0.2">
      <c r="C86" s="11">
        <v>7</v>
      </c>
      <c r="D86" s="11">
        <f t="shared" si="5"/>
        <v>7</v>
      </c>
      <c r="F86" s="11">
        <v>10</v>
      </c>
      <c r="G86" s="11">
        <f t="shared" si="6"/>
        <v>10</v>
      </c>
      <c r="I86" s="11">
        <v>5.36</v>
      </c>
      <c r="J86" s="11">
        <f t="shared" si="7"/>
        <v>5.36</v>
      </c>
      <c r="L86" s="11">
        <v>5</v>
      </c>
      <c r="M86" s="11">
        <f t="shared" si="8"/>
        <v>5</v>
      </c>
      <c r="O86" s="11">
        <v>7565.36</v>
      </c>
      <c r="P86" s="11">
        <f t="shared" si="9"/>
        <v>7565.36</v>
      </c>
    </row>
    <row r="87" spans="3:16" hidden="1" x14ac:dyDescent="0.2">
      <c r="C87" s="11">
        <v>1</v>
      </c>
      <c r="D87" s="11">
        <f t="shared" si="5"/>
        <v>1</v>
      </c>
      <c r="F87" s="11">
        <v>5</v>
      </c>
      <c r="G87" s="11">
        <f t="shared" si="6"/>
        <v>5</v>
      </c>
      <c r="I87" s="11">
        <v>17.399999999999999</v>
      </c>
      <c r="J87" s="11">
        <f t="shared" si="7"/>
        <v>17.399999999999999</v>
      </c>
      <c r="M87" s="11">
        <f t="shared" si="8"/>
        <v>0</v>
      </c>
      <c r="O87" s="11">
        <v>1157.4000000000001</v>
      </c>
      <c r="P87" s="11">
        <f t="shared" si="9"/>
        <v>1157.4000000000001</v>
      </c>
    </row>
    <row r="88" spans="3:16" hidden="1" x14ac:dyDescent="0.2">
      <c r="C88" s="11" t="s">
        <v>37</v>
      </c>
      <c r="D88" s="11" t="str">
        <f t="shared" si="5"/>
        <v/>
      </c>
      <c r="F88" s="11">
        <v>5</v>
      </c>
      <c r="G88" s="11">
        <f t="shared" si="6"/>
        <v>5</v>
      </c>
      <c r="I88" s="11">
        <v>19.739999999999998</v>
      </c>
      <c r="J88" s="11">
        <f t="shared" si="7"/>
        <v>19.739999999999998</v>
      </c>
      <c r="L88" s="11">
        <v>5</v>
      </c>
      <c r="M88" s="11">
        <f t="shared" si="8"/>
        <v>5</v>
      </c>
      <c r="O88" s="11">
        <v>1444.74</v>
      </c>
      <c r="P88" s="11">
        <f t="shared" si="9"/>
        <v>1444.74</v>
      </c>
    </row>
    <row r="89" spans="3:16" hidden="1" x14ac:dyDescent="0.2">
      <c r="C89" s="11" t="s">
        <v>37</v>
      </c>
      <c r="D89" s="11" t="str">
        <f t="shared" si="5"/>
        <v/>
      </c>
      <c r="F89" s="11">
        <v>20</v>
      </c>
      <c r="G89" s="11">
        <f t="shared" si="6"/>
        <v>20</v>
      </c>
      <c r="I89" s="11">
        <v>15.26</v>
      </c>
      <c r="J89" s="11">
        <f t="shared" si="7"/>
        <v>15.26</v>
      </c>
      <c r="L89" s="11">
        <v>2</v>
      </c>
      <c r="M89" s="11">
        <f t="shared" si="8"/>
        <v>2</v>
      </c>
      <c r="O89" s="11">
        <v>831.26</v>
      </c>
      <c r="P89" s="11">
        <f t="shared" si="9"/>
        <v>831.26</v>
      </c>
    </row>
    <row r="90" spans="3:16" hidden="1" x14ac:dyDescent="0.2">
      <c r="C90" s="11" t="s">
        <v>37</v>
      </c>
      <c r="D90" s="11" t="str">
        <f t="shared" si="5"/>
        <v/>
      </c>
      <c r="F90" s="11">
        <v>20</v>
      </c>
      <c r="G90" s="11">
        <f t="shared" si="6"/>
        <v>20</v>
      </c>
      <c r="I90" s="11">
        <v>15.87</v>
      </c>
      <c r="J90" s="11">
        <f t="shared" si="7"/>
        <v>15.87</v>
      </c>
      <c r="L90" s="11">
        <v>2</v>
      </c>
      <c r="M90" s="11">
        <f t="shared" si="8"/>
        <v>2</v>
      </c>
      <c r="O90" s="11">
        <v>2191.87</v>
      </c>
      <c r="P90" s="11">
        <f t="shared" si="9"/>
        <v>2191.87</v>
      </c>
    </row>
    <row r="91" spans="3:16" x14ac:dyDescent="0.2">
      <c r="C91" s="11">
        <v>10</v>
      </c>
      <c r="D91" s="11">
        <f t="shared" si="5"/>
        <v>10</v>
      </c>
      <c r="F91" s="11">
        <v>0</v>
      </c>
      <c r="G91" s="11">
        <f t="shared" si="6"/>
        <v>0</v>
      </c>
      <c r="I91" s="11">
        <v>12.74</v>
      </c>
      <c r="J91" s="11">
        <f t="shared" si="7"/>
        <v>12.74</v>
      </c>
      <c r="L91" s="11">
        <v>3</v>
      </c>
      <c r="M91" s="11">
        <f t="shared" si="8"/>
        <v>3</v>
      </c>
      <c r="O91" s="11">
        <v>9012.74</v>
      </c>
      <c r="P91" s="11">
        <f t="shared" si="9"/>
        <v>9012.74</v>
      </c>
    </row>
    <row r="92" spans="3:16" hidden="1" x14ac:dyDescent="0.2">
      <c r="C92" s="11" t="s">
        <v>37</v>
      </c>
      <c r="D92" s="11" t="str">
        <f t="shared" si="5"/>
        <v/>
      </c>
      <c r="F92" s="11">
        <v>15</v>
      </c>
      <c r="G92" s="11">
        <f t="shared" si="6"/>
        <v>15</v>
      </c>
      <c r="I92" s="11">
        <v>7.93</v>
      </c>
      <c r="J92" s="11">
        <f t="shared" si="7"/>
        <v>7.93</v>
      </c>
      <c r="L92" s="11">
        <v>5</v>
      </c>
      <c r="M92" s="11">
        <f t="shared" si="8"/>
        <v>5</v>
      </c>
      <c r="O92" s="11">
        <v>2319.9299999999998</v>
      </c>
      <c r="P92" s="11">
        <f t="shared" si="9"/>
        <v>2319.9299999999998</v>
      </c>
    </row>
    <row r="93" spans="3:16" hidden="1" x14ac:dyDescent="0.2">
      <c r="C93" s="11">
        <v>5</v>
      </c>
      <c r="D93" s="11">
        <f t="shared" si="5"/>
        <v>5</v>
      </c>
      <c r="F93" s="11">
        <v>20</v>
      </c>
      <c r="G93" s="11">
        <f t="shared" si="6"/>
        <v>20</v>
      </c>
      <c r="I93" s="11">
        <v>15.63</v>
      </c>
      <c r="J93" s="11">
        <f t="shared" si="7"/>
        <v>15.63</v>
      </c>
      <c r="M93" s="11">
        <f t="shared" si="8"/>
        <v>0</v>
      </c>
      <c r="O93" s="11">
        <v>4815.63</v>
      </c>
      <c r="P93" s="11">
        <f t="shared" si="9"/>
        <v>4815.63</v>
      </c>
    </row>
    <row r="94" spans="3:16" x14ac:dyDescent="0.2">
      <c r="C94" s="11">
        <v>8</v>
      </c>
      <c r="D94" s="11">
        <f t="shared" si="5"/>
        <v>8</v>
      </c>
      <c r="F94" s="11">
        <v>0</v>
      </c>
      <c r="G94" s="11">
        <f t="shared" si="6"/>
        <v>0</v>
      </c>
      <c r="I94" s="11">
        <v>19.190000000000001</v>
      </c>
      <c r="J94" s="11">
        <f t="shared" si="7"/>
        <v>19.190000000000001</v>
      </c>
      <c r="L94" s="11">
        <v>1</v>
      </c>
      <c r="M94" s="11">
        <f t="shared" si="8"/>
        <v>1</v>
      </c>
      <c r="O94" s="11">
        <v>9619.19</v>
      </c>
      <c r="P94" s="11">
        <f t="shared" si="9"/>
        <v>9619.19</v>
      </c>
    </row>
    <row r="95" spans="3:16" hidden="1" x14ac:dyDescent="0.2">
      <c r="C95" s="11">
        <v>3</v>
      </c>
      <c r="D95" s="11">
        <f t="shared" si="5"/>
        <v>3</v>
      </c>
      <c r="F95" s="11">
        <v>5</v>
      </c>
      <c r="G95" s="11">
        <f t="shared" si="6"/>
        <v>5</v>
      </c>
      <c r="I95" s="11">
        <v>17.989999999999998</v>
      </c>
      <c r="J95" s="11">
        <f t="shared" si="7"/>
        <v>17.989999999999998</v>
      </c>
      <c r="M95" s="11">
        <f t="shared" si="8"/>
        <v>0</v>
      </c>
      <c r="O95" s="11">
        <v>2582.9899999999998</v>
      </c>
      <c r="P95" s="11">
        <f t="shared" si="9"/>
        <v>2582.9899999999998</v>
      </c>
    </row>
    <row r="96" spans="3:16" x14ac:dyDescent="0.2">
      <c r="C96" s="11">
        <v>3</v>
      </c>
      <c r="D96" s="11">
        <f t="shared" si="5"/>
        <v>3</v>
      </c>
      <c r="F96" s="11">
        <v>15</v>
      </c>
      <c r="G96" s="11">
        <f t="shared" si="6"/>
        <v>15</v>
      </c>
      <c r="I96" s="11">
        <v>12.83</v>
      </c>
      <c r="J96" s="11">
        <f t="shared" si="7"/>
        <v>12.83</v>
      </c>
      <c r="L96" s="11">
        <v>1</v>
      </c>
      <c r="M96" s="11">
        <f t="shared" si="8"/>
        <v>1</v>
      </c>
      <c r="O96" s="11">
        <v>573.83000000000004</v>
      </c>
      <c r="P96" s="11">
        <f t="shared" si="9"/>
        <v>573.83000000000004</v>
      </c>
    </row>
    <row r="97" spans="3:16" x14ac:dyDescent="0.2">
      <c r="C97" s="11">
        <v>10</v>
      </c>
      <c r="D97" s="11">
        <f t="shared" si="5"/>
        <v>10</v>
      </c>
      <c r="F97" s="11">
        <v>0</v>
      </c>
      <c r="G97" s="11">
        <f t="shared" si="6"/>
        <v>0</v>
      </c>
      <c r="I97" s="11">
        <v>6.29</v>
      </c>
      <c r="J97" s="11">
        <f t="shared" si="7"/>
        <v>6.29</v>
      </c>
      <c r="L97" s="11">
        <v>3</v>
      </c>
      <c r="M97" s="11">
        <f t="shared" si="8"/>
        <v>3</v>
      </c>
      <c r="O97" s="11">
        <v>2206.29</v>
      </c>
      <c r="P97" s="11">
        <f t="shared" si="9"/>
        <v>2206.29</v>
      </c>
    </row>
    <row r="98" spans="3:16" hidden="1" x14ac:dyDescent="0.2">
      <c r="C98" s="11" t="s">
        <v>37</v>
      </c>
      <c r="D98" s="11" t="str">
        <f t="shared" si="5"/>
        <v/>
      </c>
      <c r="F98" s="11">
        <v>10</v>
      </c>
      <c r="G98" s="11">
        <f t="shared" si="6"/>
        <v>10</v>
      </c>
      <c r="I98" s="11">
        <v>4.38</v>
      </c>
      <c r="J98" s="11">
        <f t="shared" si="7"/>
        <v>4.38</v>
      </c>
      <c r="L98" s="11">
        <v>2</v>
      </c>
      <c r="M98" s="11">
        <f t="shared" si="8"/>
        <v>2</v>
      </c>
      <c r="O98" s="11">
        <v>544.38</v>
      </c>
      <c r="P98" s="11">
        <f t="shared" si="9"/>
        <v>544.38</v>
      </c>
    </row>
    <row r="99" spans="3:16" hidden="1" x14ac:dyDescent="0.2">
      <c r="C99" s="11" t="s">
        <v>37</v>
      </c>
      <c r="D99" s="11" t="str">
        <f t="shared" si="5"/>
        <v/>
      </c>
      <c r="F99" s="11">
        <v>0</v>
      </c>
      <c r="G99" s="11">
        <f t="shared" si="6"/>
        <v>0</v>
      </c>
      <c r="I99" s="11">
        <v>13.24</v>
      </c>
      <c r="J99" s="11">
        <f t="shared" si="7"/>
        <v>13.24</v>
      </c>
      <c r="L99" s="11">
        <v>1</v>
      </c>
      <c r="M99" s="11">
        <f t="shared" si="8"/>
        <v>1</v>
      </c>
      <c r="O99" s="11">
        <v>12013.24</v>
      </c>
      <c r="P99" s="11">
        <f t="shared" si="9"/>
        <v>12013.24</v>
      </c>
    </row>
    <row r="100" spans="3:16" x14ac:dyDescent="0.2">
      <c r="C100" s="11">
        <v>6</v>
      </c>
      <c r="D100" s="11">
        <f t="shared" si="5"/>
        <v>6</v>
      </c>
      <c r="F100" s="11">
        <v>5</v>
      </c>
      <c r="G100" s="11">
        <f t="shared" si="6"/>
        <v>5</v>
      </c>
      <c r="I100" s="11">
        <v>4.4000000000000004</v>
      </c>
      <c r="J100" s="11">
        <f t="shared" si="7"/>
        <v>4.4000000000000004</v>
      </c>
      <c r="L100" s="11">
        <v>2</v>
      </c>
      <c r="M100" s="11">
        <f t="shared" si="8"/>
        <v>2</v>
      </c>
      <c r="O100" s="11">
        <v>6844.4</v>
      </c>
      <c r="P100" s="11">
        <f t="shared" si="9"/>
        <v>6844.4</v>
      </c>
    </row>
    <row r="101" spans="3:16" x14ac:dyDescent="0.2">
      <c r="C101" s="11">
        <v>9</v>
      </c>
      <c r="D101" s="11">
        <f t="shared" si="5"/>
        <v>9</v>
      </c>
      <c r="F101" s="11">
        <v>20</v>
      </c>
      <c r="G101" s="11">
        <f t="shared" si="6"/>
        <v>20</v>
      </c>
      <c r="I101" s="11">
        <v>3.75</v>
      </c>
      <c r="J101" s="11">
        <f t="shared" si="7"/>
        <v>3.75</v>
      </c>
      <c r="L101" s="11">
        <v>1</v>
      </c>
      <c r="M101" s="11">
        <f t="shared" si="8"/>
        <v>1</v>
      </c>
      <c r="O101" s="11">
        <v>1587.75</v>
      </c>
      <c r="P101" s="11">
        <f t="shared" si="9"/>
        <v>1587.75</v>
      </c>
    </row>
  </sheetData>
  <autoFilter ref="C1:P101" xr:uid="{16EB4F6C-0D1F-42FA-A753-630D0092F3C9}">
    <filterColumn colId="1">
      <customFilters>
        <customFilter operator="notEqual" val=" "/>
      </customFilters>
    </filterColumn>
    <filterColumn colId="9">
      <customFilters>
        <customFilter operator="notEqual" val=" "/>
      </customFilters>
    </filterColumn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2D5DBF-6FDC-0B42-B0E8-A213B1B9F2DB}">
  <dimension ref="A1:P52"/>
  <sheetViews>
    <sheetView zoomScale="75" workbookViewId="0">
      <selection activeCell="J7" sqref="J7"/>
    </sheetView>
  </sheetViews>
  <sheetFormatPr baseColWidth="10" defaultRowHeight="15" x14ac:dyDescent="0.2"/>
  <cols>
    <col min="1" max="1" width="8.83203125" bestFit="1" customWidth="1"/>
    <col min="2" max="2" width="20.83203125" bestFit="1" customWidth="1"/>
    <col min="3" max="4" width="6.83203125" bestFit="1" customWidth="1"/>
    <col min="5" max="5" width="9.1640625" bestFit="1" customWidth="1"/>
    <col min="8" max="8" width="22.83203125" bestFit="1" customWidth="1"/>
    <col min="9" max="9" width="12.6640625" bestFit="1" customWidth="1"/>
    <col min="10" max="10" width="34.33203125" customWidth="1"/>
    <col min="11" max="11" width="12.6640625" bestFit="1" customWidth="1"/>
    <col min="12" max="12" width="12.1640625" bestFit="1" customWidth="1"/>
    <col min="13" max="13" width="12.6640625" bestFit="1" customWidth="1"/>
    <col min="14" max="14" width="12.1640625" bestFit="1" customWidth="1"/>
    <col min="15" max="15" width="12.6640625" bestFit="1" customWidth="1"/>
    <col min="16" max="16" width="12.1640625" bestFit="1" customWidth="1"/>
  </cols>
  <sheetData>
    <row r="1" spans="1:16" ht="256" x14ac:dyDescent="0.2">
      <c r="A1" s="14" t="s">
        <v>890</v>
      </c>
      <c r="B1" s="15" t="s">
        <v>891</v>
      </c>
      <c r="C1" s="15" t="s">
        <v>892</v>
      </c>
      <c r="D1" s="15" t="s">
        <v>893</v>
      </c>
      <c r="E1" s="15" t="s">
        <v>894</v>
      </c>
      <c r="H1" s="11" t="s">
        <v>895</v>
      </c>
      <c r="I1" s="11"/>
      <c r="J1" s="3" t="s">
        <v>919</v>
      </c>
      <c r="K1" s="11"/>
      <c r="L1" s="11"/>
      <c r="M1" s="11"/>
      <c r="N1" s="11"/>
      <c r="O1" s="11"/>
      <c r="P1" s="11"/>
    </row>
    <row r="2" spans="1:16" ht="16" thickBot="1" x14ac:dyDescent="0.25">
      <c r="A2" s="11">
        <v>5</v>
      </c>
      <c r="B2" s="11">
        <v>0</v>
      </c>
      <c r="C2" s="11">
        <v>18.72</v>
      </c>
      <c r="D2" s="11">
        <v>1</v>
      </c>
      <c r="E2" s="11">
        <v>768.72</v>
      </c>
      <c r="H2" s="11"/>
      <c r="I2" s="11"/>
      <c r="J2" s="11"/>
      <c r="K2" s="11"/>
      <c r="L2" s="11"/>
      <c r="M2" s="11"/>
      <c r="N2" s="11"/>
      <c r="O2" s="11"/>
      <c r="P2" s="11"/>
    </row>
    <row r="3" spans="1:16" x14ac:dyDescent="0.2">
      <c r="A3" s="11">
        <v>5</v>
      </c>
      <c r="B3" s="11">
        <v>20</v>
      </c>
      <c r="C3" s="11">
        <v>18.440000000000001</v>
      </c>
      <c r="D3" s="11">
        <v>5</v>
      </c>
      <c r="E3" s="11">
        <v>3618.44</v>
      </c>
      <c r="H3" s="16" t="s">
        <v>896</v>
      </c>
      <c r="I3" s="16"/>
      <c r="J3" s="11"/>
      <c r="K3" s="11"/>
      <c r="L3" s="11"/>
      <c r="M3" s="11"/>
      <c r="N3" s="11"/>
      <c r="O3" s="11"/>
      <c r="P3" s="11"/>
    </row>
    <row r="4" spans="1:16" x14ac:dyDescent="0.2">
      <c r="A4" s="11">
        <v>4</v>
      </c>
      <c r="B4" s="11">
        <v>0</v>
      </c>
      <c r="C4" s="11">
        <v>8.24</v>
      </c>
      <c r="D4" s="11">
        <v>1</v>
      </c>
      <c r="E4" s="11">
        <v>4808.24</v>
      </c>
      <c r="H4" s="11" t="s">
        <v>897</v>
      </c>
      <c r="I4" s="11">
        <v>0.50003387844358926</v>
      </c>
      <c r="J4" s="11"/>
      <c r="K4" s="11"/>
      <c r="L4" s="11"/>
      <c r="M4" s="11"/>
      <c r="N4" s="11"/>
      <c r="O4" s="11"/>
      <c r="P4" s="11"/>
    </row>
    <row r="5" spans="1:16" x14ac:dyDescent="0.2">
      <c r="A5" s="11">
        <v>3</v>
      </c>
      <c r="B5" s="11">
        <v>0</v>
      </c>
      <c r="C5" s="11">
        <v>13.49</v>
      </c>
      <c r="D5" s="11">
        <v>2</v>
      </c>
      <c r="E5" s="11">
        <v>463.49</v>
      </c>
      <c r="H5" s="11" t="s">
        <v>898</v>
      </c>
      <c r="I5" s="11">
        <v>0.25003387959133816</v>
      </c>
      <c r="J5" s="11"/>
      <c r="K5" s="11"/>
      <c r="L5" s="11"/>
      <c r="M5" s="11"/>
      <c r="N5" s="11"/>
      <c r="O5" s="11"/>
      <c r="P5" s="11"/>
    </row>
    <row r="6" spans="1:16" x14ac:dyDescent="0.2">
      <c r="A6" s="11">
        <v>9</v>
      </c>
      <c r="B6" s="11">
        <v>10</v>
      </c>
      <c r="C6" s="11">
        <v>18.34</v>
      </c>
      <c r="D6" s="11">
        <v>3</v>
      </c>
      <c r="E6" s="11">
        <v>2772.34</v>
      </c>
      <c r="H6" s="11" t="s">
        <v>899</v>
      </c>
      <c r="I6" s="11">
        <v>0.18481943433841105</v>
      </c>
      <c r="J6" s="11"/>
      <c r="K6" s="11"/>
      <c r="L6" s="11"/>
      <c r="M6" s="11"/>
      <c r="N6" s="11"/>
      <c r="O6" s="11"/>
      <c r="P6" s="11"/>
    </row>
    <row r="7" spans="1:16" x14ac:dyDescent="0.2">
      <c r="A7" s="11">
        <v>3</v>
      </c>
      <c r="B7" s="11">
        <v>20</v>
      </c>
      <c r="C7" s="11">
        <v>7.28</v>
      </c>
      <c r="D7" s="11">
        <v>1</v>
      </c>
      <c r="E7" s="11">
        <v>823.28</v>
      </c>
      <c r="H7" s="11" t="s">
        <v>900</v>
      </c>
      <c r="I7" s="11">
        <v>2396.9772971039188</v>
      </c>
      <c r="J7" s="11"/>
      <c r="K7" s="11"/>
      <c r="L7" s="11"/>
      <c r="M7" s="11"/>
      <c r="N7" s="11"/>
      <c r="O7" s="11"/>
      <c r="P7" s="11"/>
    </row>
    <row r="8" spans="1:16" ht="16" thickBot="1" x14ac:dyDescent="0.25">
      <c r="A8" s="11">
        <v>8</v>
      </c>
      <c r="B8" s="11">
        <v>0</v>
      </c>
      <c r="C8" s="11">
        <v>13.99</v>
      </c>
      <c r="D8" s="11">
        <v>5</v>
      </c>
      <c r="E8" s="11">
        <v>7213.99</v>
      </c>
      <c r="H8" s="17" t="s">
        <v>901</v>
      </c>
      <c r="I8" s="17">
        <v>51</v>
      </c>
      <c r="J8" s="11"/>
      <c r="K8" s="11"/>
      <c r="L8" s="11"/>
      <c r="M8" s="11"/>
      <c r="N8" s="11"/>
      <c r="O8" s="11"/>
      <c r="P8" s="11"/>
    </row>
    <row r="9" spans="1:16" x14ac:dyDescent="0.2">
      <c r="A9" s="11">
        <v>9</v>
      </c>
      <c r="B9" s="11">
        <v>10</v>
      </c>
      <c r="C9" s="11">
        <v>18.079999999999998</v>
      </c>
      <c r="D9" s="11">
        <v>2</v>
      </c>
      <c r="E9" s="11">
        <v>2772.08</v>
      </c>
      <c r="H9" s="11"/>
      <c r="I9" s="11"/>
      <c r="J9" s="11"/>
      <c r="K9" s="11"/>
      <c r="L9" s="11"/>
      <c r="M9" s="11"/>
      <c r="N9" s="11"/>
      <c r="O9" s="11"/>
      <c r="P9" s="11"/>
    </row>
    <row r="10" spans="1:16" ht="16" thickBot="1" x14ac:dyDescent="0.25">
      <c r="A10" s="11">
        <v>1</v>
      </c>
      <c r="B10" s="11">
        <v>5</v>
      </c>
      <c r="C10" s="11">
        <v>13.9</v>
      </c>
      <c r="D10" s="11">
        <v>3</v>
      </c>
      <c r="E10" s="11">
        <v>156.4</v>
      </c>
      <c r="H10" s="11" t="s">
        <v>902</v>
      </c>
      <c r="I10" s="11"/>
      <c r="J10" s="11"/>
      <c r="K10" s="11"/>
      <c r="L10" s="11"/>
      <c r="M10" s="11"/>
      <c r="N10" s="11"/>
      <c r="O10" s="11"/>
      <c r="P10" s="11"/>
    </row>
    <row r="11" spans="1:16" x14ac:dyDescent="0.2">
      <c r="A11" s="11">
        <v>10</v>
      </c>
      <c r="B11" s="11">
        <v>15</v>
      </c>
      <c r="C11" s="11">
        <v>5.23</v>
      </c>
      <c r="D11" s="11">
        <v>1</v>
      </c>
      <c r="E11" s="11">
        <v>7655.23</v>
      </c>
      <c r="H11" s="16"/>
      <c r="I11" s="16" t="s">
        <v>907</v>
      </c>
      <c r="J11" s="16" t="s">
        <v>908</v>
      </c>
      <c r="K11" s="16" t="s">
        <v>909</v>
      </c>
      <c r="L11" s="16" t="s">
        <v>910</v>
      </c>
      <c r="M11" s="16" t="s">
        <v>911</v>
      </c>
      <c r="N11" s="11"/>
      <c r="O11" s="11"/>
      <c r="P11" s="11"/>
    </row>
    <row r="12" spans="1:16" x14ac:dyDescent="0.2">
      <c r="A12" s="11">
        <v>5</v>
      </c>
      <c r="B12" s="11">
        <v>0</v>
      </c>
      <c r="C12" s="11">
        <v>19.829999999999998</v>
      </c>
      <c r="D12" s="11">
        <v>3</v>
      </c>
      <c r="E12" s="11">
        <v>769.83</v>
      </c>
      <c r="H12" s="11" t="s">
        <v>903</v>
      </c>
      <c r="I12" s="11">
        <v>4</v>
      </c>
      <c r="J12" s="11">
        <v>88113588.352020651</v>
      </c>
      <c r="K12" s="11">
        <v>22028397.088005163</v>
      </c>
      <c r="L12" s="11">
        <v>3.8340260140465658</v>
      </c>
      <c r="M12" s="11">
        <v>9.0221850954036384E-3</v>
      </c>
      <c r="N12" s="11"/>
      <c r="O12" s="11"/>
      <c r="P12" s="11"/>
    </row>
    <row r="13" spans="1:16" x14ac:dyDescent="0.2">
      <c r="A13" s="11">
        <v>7</v>
      </c>
      <c r="B13" s="11">
        <v>5</v>
      </c>
      <c r="C13" s="11">
        <v>11.4</v>
      </c>
      <c r="D13" s="11">
        <v>4</v>
      </c>
      <c r="E13" s="11">
        <v>1008.9</v>
      </c>
      <c r="H13" s="11" t="s">
        <v>904</v>
      </c>
      <c r="I13" s="11">
        <v>46</v>
      </c>
      <c r="J13" s="11">
        <v>264293007.49025396</v>
      </c>
      <c r="K13" s="11">
        <v>5745500.1628316073</v>
      </c>
      <c r="L13" s="11"/>
      <c r="M13" s="11"/>
      <c r="N13" s="11"/>
      <c r="O13" s="11"/>
      <c r="P13" s="11"/>
    </row>
    <row r="14" spans="1:16" ht="16" thickBot="1" x14ac:dyDescent="0.25">
      <c r="A14" s="11">
        <v>10</v>
      </c>
      <c r="B14" s="11">
        <v>15</v>
      </c>
      <c r="C14" s="11">
        <v>17.62</v>
      </c>
      <c r="D14" s="11">
        <v>3</v>
      </c>
      <c r="E14" s="11">
        <v>1887.62</v>
      </c>
      <c r="H14" s="17" t="s">
        <v>905</v>
      </c>
      <c r="I14" s="17">
        <v>50</v>
      </c>
      <c r="J14" s="17">
        <v>352406595.84227461</v>
      </c>
      <c r="K14" s="17"/>
      <c r="L14" s="17"/>
      <c r="M14" s="17"/>
      <c r="N14" s="11"/>
      <c r="O14" s="11"/>
      <c r="P14" s="11"/>
    </row>
    <row r="15" spans="1:16" ht="16" thickBot="1" x14ac:dyDescent="0.25">
      <c r="A15" s="11">
        <v>6</v>
      </c>
      <c r="B15" s="11">
        <v>10</v>
      </c>
      <c r="C15" s="11">
        <v>9.74</v>
      </c>
      <c r="D15" s="11">
        <v>2</v>
      </c>
      <c r="E15" s="11">
        <v>1845.74</v>
      </c>
      <c r="H15" s="11"/>
      <c r="I15" s="11"/>
      <c r="J15" s="11"/>
      <c r="K15" s="11"/>
      <c r="L15" s="11"/>
      <c r="M15" s="11"/>
      <c r="N15" s="11"/>
      <c r="O15" s="11"/>
      <c r="P15" s="11"/>
    </row>
    <row r="16" spans="1:16" x14ac:dyDescent="0.2">
      <c r="A16" s="11">
        <v>9</v>
      </c>
      <c r="B16" s="11">
        <v>15</v>
      </c>
      <c r="C16" s="11">
        <v>5.43</v>
      </c>
      <c r="D16" s="11">
        <v>2</v>
      </c>
      <c r="E16" s="11">
        <v>2606.4299999999998</v>
      </c>
      <c r="H16" s="16"/>
      <c r="I16" s="16" t="s">
        <v>912</v>
      </c>
      <c r="J16" s="16" t="s">
        <v>900</v>
      </c>
      <c r="K16" s="16" t="s">
        <v>913</v>
      </c>
      <c r="L16" s="16" t="s">
        <v>914</v>
      </c>
      <c r="M16" s="16" t="s">
        <v>915</v>
      </c>
      <c r="N16" s="16" t="s">
        <v>916</v>
      </c>
      <c r="O16" s="16" t="s">
        <v>917</v>
      </c>
      <c r="P16" s="16" t="s">
        <v>918</v>
      </c>
    </row>
    <row r="17" spans="1:16" x14ac:dyDescent="0.2">
      <c r="A17" s="11">
        <v>5</v>
      </c>
      <c r="B17" s="11">
        <v>15</v>
      </c>
      <c r="C17" s="11">
        <v>3.7</v>
      </c>
      <c r="D17" s="11">
        <v>2</v>
      </c>
      <c r="E17" s="11">
        <v>938.7</v>
      </c>
      <c r="H17" s="11" t="s">
        <v>906</v>
      </c>
      <c r="I17" s="11">
        <v>2066.8970301409072</v>
      </c>
      <c r="J17" s="11">
        <v>1377.053675909953</v>
      </c>
      <c r="K17" s="11">
        <v>1.500956038460235</v>
      </c>
      <c r="L17" s="11">
        <v>0.14020036800303701</v>
      </c>
      <c r="M17" s="11">
        <v>-704.9682535740601</v>
      </c>
      <c r="N17" s="11">
        <v>4838.7623138558747</v>
      </c>
      <c r="O17" s="11">
        <v>-704.9682535740601</v>
      </c>
      <c r="P17" s="11">
        <v>4838.7623138558747</v>
      </c>
    </row>
    <row r="18" spans="1:16" x14ac:dyDescent="0.2">
      <c r="A18" s="11">
        <v>4</v>
      </c>
      <c r="B18" s="11">
        <v>15</v>
      </c>
      <c r="C18" s="11">
        <v>12.42</v>
      </c>
      <c r="D18" s="11">
        <v>4</v>
      </c>
      <c r="E18" s="11">
        <v>760.42</v>
      </c>
      <c r="H18" s="11" t="s">
        <v>890</v>
      </c>
      <c r="I18" s="11">
        <v>369.13045629621803</v>
      </c>
      <c r="J18" s="11">
        <v>118.66352737891521</v>
      </c>
      <c r="K18" s="11">
        <v>3.1107322060089642</v>
      </c>
      <c r="L18" s="11">
        <v>3.2015711676236383E-3</v>
      </c>
      <c r="M18" s="11">
        <v>130.27316428294432</v>
      </c>
      <c r="N18" s="11">
        <v>607.98774830949174</v>
      </c>
      <c r="O18" s="11">
        <v>130.27316428294432</v>
      </c>
      <c r="P18" s="11">
        <v>607.98774830949174</v>
      </c>
    </row>
    <row r="19" spans="1:16" x14ac:dyDescent="0.2">
      <c r="A19" s="11">
        <v>3</v>
      </c>
      <c r="B19" s="11">
        <v>0</v>
      </c>
      <c r="C19" s="11">
        <v>11.45</v>
      </c>
      <c r="D19" s="11">
        <v>2</v>
      </c>
      <c r="E19" s="11">
        <v>1031.45</v>
      </c>
      <c r="H19" s="11" t="s">
        <v>891</v>
      </c>
      <c r="I19" s="11">
        <v>-78.732642371627861</v>
      </c>
      <c r="J19" s="11">
        <v>45.091272204306101</v>
      </c>
      <c r="K19" s="11">
        <v>-1.7460727658091912</v>
      </c>
      <c r="L19" s="11">
        <v>8.7474211856418696E-2</v>
      </c>
      <c r="M19" s="11">
        <v>-169.49666574135364</v>
      </c>
      <c r="N19" s="11">
        <v>12.031380998097911</v>
      </c>
      <c r="O19" s="11">
        <v>-169.49666574135364</v>
      </c>
      <c r="P19" s="11">
        <v>12.031380998097911</v>
      </c>
    </row>
    <row r="20" spans="1:16" x14ac:dyDescent="0.2">
      <c r="A20" s="11">
        <v>5</v>
      </c>
      <c r="B20" s="11">
        <v>20</v>
      </c>
      <c r="C20" s="11">
        <v>11.25</v>
      </c>
      <c r="D20" s="11">
        <v>3</v>
      </c>
      <c r="E20" s="11">
        <v>891.25</v>
      </c>
      <c r="H20" s="11" t="s">
        <v>892</v>
      </c>
      <c r="I20" s="11">
        <v>-11.484696759865306</v>
      </c>
      <c r="J20" s="11">
        <v>65.912566661197673</v>
      </c>
      <c r="K20" s="11">
        <v>-0.17424138281397372</v>
      </c>
      <c r="L20" s="11">
        <v>0.86244035894023086</v>
      </c>
      <c r="M20" s="11">
        <v>-144.15981210567364</v>
      </c>
      <c r="N20" s="11">
        <v>121.19041858594304</v>
      </c>
      <c r="O20" s="11">
        <v>-144.15981210567364</v>
      </c>
      <c r="P20" s="11">
        <v>121.19041858594304</v>
      </c>
    </row>
    <row r="21" spans="1:16" ht="16" thickBot="1" x14ac:dyDescent="0.25">
      <c r="A21" s="11">
        <v>5</v>
      </c>
      <c r="B21" s="11">
        <v>10</v>
      </c>
      <c r="C21" s="11">
        <v>9.76</v>
      </c>
      <c r="D21" s="11">
        <v>5</v>
      </c>
      <c r="E21" s="11">
        <v>4059.76</v>
      </c>
      <c r="H21" s="17" t="s">
        <v>893</v>
      </c>
      <c r="I21" s="17">
        <v>-232.26831052655126</v>
      </c>
      <c r="J21" s="17">
        <v>224.14998787190399</v>
      </c>
      <c r="K21" s="17">
        <v>-1.0362182605126291</v>
      </c>
      <c r="L21" s="17">
        <v>0.30551709413620343</v>
      </c>
      <c r="M21" s="17">
        <v>-683.45883461175038</v>
      </c>
      <c r="N21" s="17">
        <v>218.92221355864788</v>
      </c>
      <c r="O21" s="17">
        <v>-683.45883461175038</v>
      </c>
      <c r="P21" s="17">
        <v>218.92221355864788</v>
      </c>
    </row>
    <row r="22" spans="1:16" x14ac:dyDescent="0.2">
      <c r="A22" s="11">
        <v>8</v>
      </c>
      <c r="B22" s="11">
        <v>15</v>
      </c>
      <c r="C22" s="11">
        <v>19.45</v>
      </c>
      <c r="D22" s="11">
        <v>1</v>
      </c>
      <c r="E22" s="11">
        <v>1039.45</v>
      </c>
    </row>
    <row r="23" spans="1:16" x14ac:dyDescent="0.2">
      <c r="A23" s="11">
        <v>6</v>
      </c>
      <c r="B23" s="11">
        <v>20</v>
      </c>
      <c r="C23" s="11">
        <v>9.0399999999999991</v>
      </c>
      <c r="D23" s="11">
        <v>3</v>
      </c>
      <c r="E23" s="11">
        <v>4329.04</v>
      </c>
    </row>
    <row r="24" spans="1:16" x14ac:dyDescent="0.2">
      <c r="A24" s="11">
        <v>1</v>
      </c>
      <c r="B24" s="11">
        <v>10</v>
      </c>
      <c r="C24" s="11">
        <v>17.96</v>
      </c>
      <c r="D24" s="11">
        <v>2</v>
      </c>
      <c r="E24" s="11">
        <v>1097.96</v>
      </c>
    </row>
    <row r="25" spans="1:16" x14ac:dyDescent="0.2">
      <c r="A25" s="11">
        <v>1</v>
      </c>
      <c r="B25" s="11">
        <v>20</v>
      </c>
      <c r="C25" s="11">
        <v>10.49</v>
      </c>
      <c r="D25" s="11">
        <v>5</v>
      </c>
      <c r="E25" s="11">
        <v>730.49</v>
      </c>
    </row>
    <row r="26" spans="1:16" x14ac:dyDescent="0.2">
      <c r="A26" s="11">
        <v>2</v>
      </c>
      <c r="B26" s="11">
        <v>10</v>
      </c>
      <c r="C26" s="11">
        <v>3.22</v>
      </c>
      <c r="D26" s="11">
        <v>2</v>
      </c>
      <c r="E26" s="11">
        <v>2163.2199999999998</v>
      </c>
    </row>
    <row r="27" spans="1:16" x14ac:dyDescent="0.2">
      <c r="A27" s="11">
        <v>2</v>
      </c>
      <c r="B27" s="11">
        <v>20</v>
      </c>
      <c r="C27" s="11">
        <v>8.24</v>
      </c>
      <c r="D27" s="11">
        <v>1</v>
      </c>
      <c r="E27" s="11">
        <v>1448.24</v>
      </c>
    </row>
    <row r="28" spans="1:16" x14ac:dyDescent="0.2">
      <c r="A28" s="11">
        <v>9</v>
      </c>
      <c r="B28" s="11">
        <v>5</v>
      </c>
      <c r="C28" s="11">
        <v>5.4</v>
      </c>
      <c r="D28" s="11">
        <v>5</v>
      </c>
      <c r="E28" s="11">
        <v>1287.9000000000001</v>
      </c>
    </row>
    <row r="29" spans="1:16" x14ac:dyDescent="0.2">
      <c r="A29" s="11">
        <v>8</v>
      </c>
      <c r="B29" s="11">
        <v>5</v>
      </c>
      <c r="C29" s="11">
        <v>6.29</v>
      </c>
      <c r="D29" s="11">
        <v>1</v>
      </c>
      <c r="E29" s="11">
        <v>1678.29</v>
      </c>
    </row>
    <row r="30" spans="1:16" x14ac:dyDescent="0.2">
      <c r="A30" s="11">
        <v>10</v>
      </c>
      <c r="B30" s="11">
        <v>5</v>
      </c>
      <c r="C30" s="11">
        <v>3.96</v>
      </c>
      <c r="D30" s="11">
        <v>5</v>
      </c>
      <c r="E30" s="11">
        <v>1428.96</v>
      </c>
    </row>
    <row r="31" spans="1:16" x14ac:dyDescent="0.2">
      <c r="A31" s="11">
        <v>9</v>
      </c>
      <c r="B31" s="11">
        <v>5</v>
      </c>
      <c r="C31" s="11">
        <v>16.54</v>
      </c>
      <c r="D31" s="11">
        <v>4</v>
      </c>
      <c r="E31" s="11">
        <v>1299.04</v>
      </c>
    </row>
    <row r="32" spans="1:16" x14ac:dyDescent="0.2">
      <c r="A32" s="11">
        <v>7</v>
      </c>
      <c r="B32" s="11">
        <v>10</v>
      </c>
      <c r="C32" s="11">
        <v>14.97</v>
      </c>
      <c r="D32" s="11">
        <v>4</v>
      </c>
      <c r="E32" s="11">
        <v>2156.9699999999998</v>
      </c>
    </row>
    <row r="33" spans="1:5" x14ac:dyDescent="0.2">
      <c r="A33" s="11">
        <v>9</v>
      </c>
      <c r="B33" s="11">
        <v>0</v>
      </c>
      <c r="C33" s="11">
        <v>18.440000000000001</v>
      </c>
      <c r="D33" s="11">
        <v>1</v>
      </c>
      <c r="E33" s="11">
        <v>10818.44</v>
      </c>
    </row>
    <row r="34" spans="1:5" x14ac:dyDescent="0.2">
      <c r="A34" s="11">
        <v>3</v>
      </c>
      <c r="B34" s="11">
        <v>20</v>
      </c>
      <c r="C34" s="11">
        <v>13.55</v>
      </c>
      <c r="D34" s="11">
        <v>5</v>
      </c>
      <c r="E34" s="11">
        <v>829.55</v>
      </c>
    </row>
    <row r="35" spans="1:5" x14ac:dyDescent="0.2">
      <c r="A35" s="11">
        <v>3</v>
      </c>
      <c r="B35" s="11">
        <v>0</v>
      </c>
      <c r="C35" s="11">
        <v>3.11</v>
      </c>
      <c r="D35" s="11">
        <v>5</v>
      </c>
      <c r="E35" s="11">
        <v>1023.11</v>
      </c>
    </row>
    <row r="36" spans="1:5" x14ac:dyDescent="0.2">
      <c r="A36" s="11">
        <v>5</v>
      </c>
      <c r="B36" s="11">
        <v>10</v>
      </c>
      <c r="C36" s="11">
        <v>19.149999999999999</v>
      </c>
      <c r="D36" s="11">
        <v>1</v>
      </c>
      <c r="E36" s="11">
        <v>1009.15</v>
      </c>
    </row>
    <row r="37" spans="1:5" x14ac:dyDescent="0.2">
      <c r="A37" s="11">
        <v>4</v>
      </c>
      <c r="B37" s="11">
        <v>0</v>
      </c>
      <c r="C37" s="11">
        <v>11.97</v>
      </c>
      <c r="D37" s="11">
        <v>3</v>
      </c>
      <c r="E37" s="11">
        <v>4811.97</v>
      </c>
    </row>
    <row r="38" spans="1:5" x14ac:dyDescent="0.2">
      <c r="A38" s="11">
        <v>1</v>
      </c>
      <c r="B38" s="11">
        <v>0</v>
      </c>
      <c r="C38" s="11">
        <v>8.35</v>
      </c>
      <c r="D38" s="11">
        <v>5</v>
      </c>
      <c r="E38" s="11">
        <v>158.35</v>
      </c>
    </row>
    <row r="39" spans="1:5" x14ac:dyDescent="0.2">
      <c r="A39" s="11">
        <v>2</v>
      </c>
      <c r="B39" s="11">
        <v>0</v>
      </c>
      <c r="C39" s="11">
        <v>10.68</v>
      </c>
      <c r="D39" s="11">
        <v>4</v>
      </c>
      <c r="E39" s="11">
        <v>1810.68</v>
      </c>
    </row>
    <row r="40" spans="1:5" x14ac:dyDescent="0.2">
      <c r="A40" s="11">
        <v>8</v>
      </c>
      <c r="B40" s="11">
        <v>15</v>
      </c>
      <c r="C40" s="11">
        <v>11.53</v>
      </c>
      <c r="D40" s="11">
        <v>2</v>
      </c>
      <c r="E40" s="11">
        <v>1507.53</v>
      </c>
    </row>
    <row r="41" spans="1:5" x14ac:dyDescent="0.2">
      <c r="A41" s="11">
        <v>6</v>
      </c>
      <c r="B41" s="11">
        <v>15</v>
      </c>
      <c r="C41" s="11">
        <v>9.2100000000000009</v>
      </c>
      <c r="D41" s="11">
        <v>4</v>
      </c>
      <c r="E41" s="11">
        <v>774.21</v>
      </c>
    </row>
    <row r="42" spans="1:5" x14ac:dyDescent="0.2">
      <c r="A42" s="11">
        <v>6</v>
      </c>
      <c r="B42" s="11">
        <v>10</v>
      </c>
      <c r="C42" s="11">
        <v>11.66</v>
      </c>
      <c r="D42" s="11">
        <v>5</v>
      </c>
      <c r="E42" s="11">
        <v>821.66</v>
      </c>
    </row>
    <row r="43" spans="1:5" x14ac:dyDescent="0.2">
      <c r="A43" s="11">
        <v>5</v>
      </c>
      <c r="B43" s="11">
        <v>20</v>
      </c>
      <c r="C43" s="11">
        <v>7.61</v>
      </c>
      <c r="D43" s="11">
        <v>1</v>
      </c>
      <c r="E43" s="11">
        <v>4807.6099999999997</v>
      </c>
    </row>
    <row r="44" spans="1:5" x14ac:dyDescent="0.2">
      <c r="A44" s="11">
        <v>3</v>
      </c>
      <c r="B44" s="11">
        <v>0</v>
      </c>
      <c r="C44" s="11">
        <v>3.51</v>
      </c>
      <c r="D44" s="11">
        <v>2</v>
      </c>
      <c r="E44" s="11">
        <v>2703.51</v>
      </c>
    </row>
    <row r="45" spans="1:5" x14ac:dyDescent="0.2">
      <c r="A45" s="11">
        <v>1</v>
      </c>
      <c r="B45" s="11">
        <v>20</v>
      </c>
      <c r="C45" s="11">
        <v>11</v>
      </c>
      <c r="D45" s="11">
        <v>5</v>
      </c>
      <c r="E45" s="11">
        <v>283</v>
      </c>
    </row>
    <row r="46" spans="1:5" x14ac:dyDescent="0.2">
      <c r="A46" s="11">
        <v>7</v>
      </c>
      <c r="B46" s="11">
        <v>10</v>
      </c>
      <c r="C46" s="11">
        <v>5.36</v>
      </c>
      <c r="D46" s="11">
        <v>5</v>
      </c>
      <c r="E46" s="11">
        <v>7565.36</v>
      </c>
    </row>
    <row r="47" spans="1:5" x14ac:dyDescent="0.2">
      <c r="A47" s="11">
        <v>10</v>
      </c>
      <c r="B47" s="11">
        <v>0</v>
      </c>
      <c r="C47" s="11">
        <v>12.74</v>
      </c>
      <c r="D47" s="11">
        <v>3</v>
      </c>
      <c r="E47" s="11">
        <v>9012.74</v>
      </c>
    </row>
    <row r="48" spans="1:5" x14ac:dyDescent="0.2">
      <c r="A48" s="11">
        <v>8</v>
      </c>
      <c r="B48" s="11">
        <v>0</v>
      </c>
      <c r="C48" s="11">
        <v>19.190000000000001</v>
      </c>
      <c r="D48" s="11">
        <v>1</v>
      </c>
      <c r="E48" s="11">
        <v>9619.19</v>
      </c>
    </row>
    <row r="49" spans="1:5" x14ac:dyDescent="0.2">
      <c r="A49" s="11">
        <v>3</v>
      </c>
      <c r="B49" s="11">
        <v>15</v>
      </c>
      <c r="C49" s="11">
        <v>12.83</v>
      </c>
      <c r="D49" s="11">
        <v>1</v>
      </c>
      <c r="E49" s="11">
        <v>573.83000000000004</v>
      </c>
    </row>
    <row r="50" spans="1:5" x14ac:dyDescent="0.2">
      <c r="A50" s="11">
        <v>10</v>
      </c>
      <c r="B50" s="11">
        <v>0</v>
      </c>
      <c r="C50" s="11">
        <v>6.29</v>
      </c>
      <c r="D50" s="11">
        <v>3</v>
      </c>
      <c r="E50" s="11">
        <v>2206.29</v>
      </c>
    </row>
    <row r="51" spans="1:5" x14ac:dyDescent="0.2">
      <c r="A51" s="11">
        <v>6</v>
      </c>
      <c r="B51" s="11">
        <v>5</v>
      </c>
      <c r="C51" s="11">
        <v>4.4000000000000004</v>
      </c>
      <c r="D51" s="11">
        <v>2</v>
      </c>
      <c r="E51" s="11">
        <v>6844.4</v>
      </c>
    </row>
    <row r="52" spans="1:5" x14ac:dyDescent="0.2">
      <c r="A52" s="11">
        <v>9</v>
      </c>
      <c r="B52" s="11">
        <v>20</v>
      </c>
      <c r="C52" s="11">
        <v>3.75</v>
      </c>
      <c r="D52" s="11">
        <v>1</v>
      </c>
      <c r="E52" s="11">
        <v>1587.75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ReferenceId xmlns="5b4b9cb7-5554-40f9-b535-9d1ff7e52fde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2F8D0A966A9CE45B6FAB10B04FC5FE1" ma:contentTypeVersion="1" ma:contentTypeDescription="Create a new document." ma:contentTypeScope="" ma:versionID="718deebcaca3ca6b30d5eef4a93e0e26">
  <xsd:schema xmlns:xsd="http://www.w3.org/2001/XMLSchema" xmlns:xs="http://www.w3.org/2001/XMLSchema" xmlns:p="http://schemas.microsoft.com/office/2006/metadata/properties" xmlns:ns2="5b4b9cb7-5554-40f9-b535-9d1ff7e52fde" targetNamespace="http://schemas.microsoft.com/office/2006/metadata/properties" ma:root="true" ma:fieldsID="c185ee1cf62847ae8b6a9d49d7d5885a" ns2:_="">
    <xsd:import namespace="5b4b9cb7-5554-40f9-b535-9d1ff7e52fde"/>
    <xsd:element name="properties">
      <xsd:complexType>
        <xsd:sequence>
          <xsd:element name="documentManagement">
            <xsd:complexType>
              <xsd:all>
                <xsd:element ref="ns2:ReferenceI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b4b9cb7-5554-40f9-b535-9d1ff7e52fde" elementFormDefault="qualified">
    <xsd:import namespace="http://schemas.microsoft.com/office/2006/documentManagement/types"/>
    <xsd:import namespace="http://schemas.microsoft.com/office/infopath/2007/PartnerControls"/>
    <xsd:element name="ReferenceId" ma:index="8" nillable="true" ma:displayName="ReferenceId" ma:indexed="true" ma:internalName="ReferenceId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88CBDE9-55D2-44C3-BCA5-55491050B889}">
  <ds:schemaRefs>
    <ds:schemaRef ds:uri="http://schemas.microsoft.com/office/2006/metadata/properties"/>
    <ds:schemaRef ds:uri="http://schemas.microsoft.com/office/infopath/2007/PartnerControls"/>
    <ds:schemaRef ds:uri="5b4b9cb7-5554-40f9-b535-9d1ff7e52fde"/>
  </ds:schemaRefs>
</ds:datastoreItem>
</file>

<file path=customXml/itemProps2.xml><?xml version="1.0" encoding="utf-8"?>
<ds:datastoreItem xmlns:ds="http://schemas.openxmlformats.org/officeDocument/2006/customXml" ds:itemID="{09002963-BD81-4C09-8C97-5B282A6860F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44C4DEF-3B47-4B1D-A96B-62CB5E875C2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b4b9cb7-5554-40f9-b535-9d1ff7e52fd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7</vt:i4>
      </vt:variant>
    </vt:vector>
  </HeadingPairs>
  <TitlesOfParts>
    <vt:vector size="11" baseType="lpstr">
      <vt:lpstr>Sales_Data</vt:lpstr>
      <vt:lpstr>Correlation</vt:lpstr>
      <vt:lpstr>Regression</vt:lpstr>
      <vt:lpstr>Regression clean data</vt:lpstr>
      <vt:lpstr>C_Table</vt:lpstr>
      <vt:lpstr>Co_Tabel</vt:lpstr>
      <vt:lpstr>D_tABLE</vt:lpstr>
      <vt:lpstr>Q_Table</vt:lpstr>
      <vt:lpstr>Regression_Table</vt:lpstr>
      <vt:lpstr>S_Table</vt:lpstr>
      <vt:lpstr>T_Table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Fakhri Abuhantash</cp:lastModifiedBy>
  <dcterms:created xsi:type="dcterms:W3CDTF">2026-05-21T15:56:02Z</dcterms:created>
  <dcterms:modified xsi:type="dcterms:W3CDTF">2026-06-25T13:03:20Z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0x010100C2F8D0A966A9CE45B6FAB10B04FC5FE1</vt:lpwstr>
  </property>
</Properties>
</file>